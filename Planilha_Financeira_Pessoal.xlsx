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Dashboard" sheetId="1" state="visible" r:id="rId1"/>
    <sheet name="💰 Receitas" sheetId="2" state="visible" r:id="rId2"/>
    <sheet name="💸 Despesas" sheetId="3" state="visible" r:id="rId3"/>
    <sheet name="🏦 Contas" sheetId="4" state="visible" r:id="rId4"/>
    <sheet name="💳 Cartões" sheetId="5" state="visible" r:id="rId5"/>
    <sheet name="🎯 Metas" sheetId="6" state="visible" r:id="rId6"/>
    <sheet name="📅 Planejamento" sheetId="7" state="visible" r:id="rId7"/>
    <sheet name="📈 Relatórios" sheetId="8" state="visible" r:id="rId8"/>
    <sheet name="🔔 Alertas" sheetId="9" state="visible" r:id="rId9"/>
    <sheet name="⚙️ Config" sheetId="10" state="visible" r:id="rId10"/>
  </sheets>
  <definedNames>
    <definedName name="CatReceitas">'⚙️ Config'!$B$7:$B$18</definedName>
    <definedName name="CatDespesas">'⚙️ Config'!$C$7:$C$18</definedName>
    <definedName name="FormasPag">'⚙️ Config'!$D$7:$D$18</definedName>
    <definedName name="ListaContas">'⚙️ Config'!$E$7:$E$18</definedName>
    <definedName name="ListaCartoes">'⚙️ Config'!$F$7:$F$18</definedName>
    <definedName name="ListaMeses">'⚙️ Config'!$G$7:$G$18</definedName>
    <definedName name="ListaAnos">'⚙️ Config'!$I$7:$I$18</definedName>
    <definedName name="_xlnm._FilterDatabase" localSheetId="1" hidden="1">'💰 Receitas'!$A$4:$G$204</definedName>
    <definedName name="_xlnm._FilterDatabase" localSheetId="2" hidden="1">'💸 Despesas'!$A$4:$J$204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R$ #,##0.00"/>
    <numFmt numFmtId="167" formatCode="0.0%"/>
    <numFmt numFmtId="168" formatCode="mmm/yyyy"/>
  </numFmts>
  <fonts count="21">
    <font>
      <name val="Calibri"/>
      <family val="2"/>
      <color theme="1"/>
      <sz val="11"/>
      <scheme val="minor"/>
    </font>
    <font>
      <name val="Calibri"/>
      <color rgb="00FFFFFF"/>
      <sz val="11"/>
    </font>
    <font>
      <name val="Calibri"/>
      <b val="1"/>
      <color rgb="00FFFFFF"/>
      <sz val="10"/>
    </font>
    <font>
      <name val="Calibri"/>
      <b val="1"/>
      <color rgb="000B0F0C"/>
      <sz val="10"/>
    </font>
    <font>
      <name val="Calibri"/>
      <b val="1"/>
      <color rgb="0069F0AE"/>
      <sz val="18"/>
    </font>
    <font>
      <name val="Calibri"/>
      <color rgb="009CB8A6"/>
      <sz val="11"/>
    </font>
    <font>
      <name val="Calibri"/>
      <b val="1"/>
      <color rgb="0069F0AE"/>
      <sz val="11"/>
    </font>
    <font>
      <name val="Calibri"/>
      <b val="1"/>
      <color rgb="0000C853"/>
      <sz val="13"/>
    </font>
    <font>
      <color rgb="00141B16"/>
    </font>
    <font>
      <color rgb="0069F0AE"/>
    </font>
    <font>
      <color rgb="00FF5252"/>
    </font>
    <font>
      <b val="1"/>
      <color rgb="0069F0AE"/>
    </font>
    <font>
      <color rgb="00FFD600"/>
    </font>
    <font>
      <b val="1"/>
      <color rgb="0000C853"/>
    </font>
    <font>
      <b val="1"/>
      <color rgb="0069F0AE"/>
      <sz val="13"/>
    </font>
    <font>
      <b val="1"/>
      <color rgb="00FF5252"/>
    </font>
    <font>
      <name val="Calibri"/>
      <b val="1"/>
      <color rgb="009CB8A6"/>
      <sz val="10"/>
    </font>
    <font>
      <b val="1"/>
      <color rgb="0069F0AE"/>
      <sz val="12"/>
    </font>
    <font>
      <name val="Calibri"/>
      <b val="1"/>
      <color rgb="0069F0AE"/>
      <sz val="16"/>
    </font>
    <font>
      <name val="Calibri"/>
      <b val="1"/>
      <color rgb="00FFFFFF"/>
      <sz val="16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0B0F0C"/>
      </patternFill>
    </fill>
    <fill>
      <patternFill patternType="solid">
        <fgColor rgb="00163020"/>
      </patternFill>
    </fill>
    <fill>
      <patternFill patternType="solid">
        <fgColor rgb="0000C853"/>
      </patternFill>
    </fill>
    <fill>
      <patternFill patternType="solid">
        <fgColor rgb="000F2418"/>
      </patternFill>
    </fill>
    <fill>
      <patternFill patternType="solid">
        <fgColor rgb="00141B16"/>
      </patternFill>
    </fill>
  </fills>
  <borders count="9">
    <border>
      <left/>
      <right/>
      <top/>
      <bottom/>
      <diagonal/>
    </border>
    <border>
      <left style="thin">
        <color rgb="001F3527"/>
      </left>
      <right style="thin">
        <color rgb="001F3527"/>
      </right>
      <top style="thin">
        <color rgb="001F3527"/>
      </top>
      <bottom style="thin">
        <color rgb="001F3527"/>
      </bottom>
    </border>
    <border>
      <left style="thin">
        <color rgb="001F3527"/>
      </left>
      <right style="thin">
        <color rgb="001F3527"/>
      </right>
      <top style="thin">
        <color rgb="001F3527"/>
      </top>
      <bottom style="medium">
        <color rgb="0000C853"/>
      </bottom>
    </border>
    <border>
      <left/>
      <right/>
      <top style="thin">
        <color rgb="001F3527"/>
      </top>
      <bottom/>
      <diagonal/>
    </border>
    <border>
      <left/>
      <right style="thin">
        <color rgb="001F3527"/>
      </right>
      <top style="thin">
        <color rgb="001F3527"/>
      </top>
      <bottom/>
      <diagonal/>
    </border>
    <border>
      <left/>
      <right style="thin">
        <color rgb="001F3527"/>
      </right>
      <top style="thin">
        <color rgb="001F3527"/>
      </top>
      <bottom style="medium">
        <color rgb="0000C853"/>
      </bottom>
      <diagonal/>
    </border>
    <border>
      <left/>
      <right style="thin">
        <color rgb="001F3527"/>
      </right>
      <top style="thin">
        <color rgb="001F3527"/>
      </top>
      <bottom style="thin">
        <color rgb="001F3527"/>
      </bottom>
      <diagonal/>
    </border>
    <border>
      <left/>
      <right/>
      <top style="thin">
        <color rgb="001F3527"/>
      </top>
      <bottom style="thin">
        <color rgb="001F3527"/>
      </bottom>
      <diagonal/>
    </border>
    <border>
      <bottom style="thick">
        <color rgb="0000C853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16" fillId="2" borderId="0" applyAlignment="1" pivotButton="0" quotePrefix="0" xfId="0">
      <alignment horizontal="right" vertical="center"/>
    </xf>
    <xf numFmtId="0" fontId="17" fillId="6" borderId="1" applyAlignment="1" applyProtection="1" pivotButton="0" quotePrefix="0" xfId="0">
      <alignment horizontal="center" vertical="center"/>
      <protection locked="0" hidden="0"/>
    </xf>
    <xf numFmtId="0" fontId="5" fillId="2" borderId="0" applyAlignment="1" pivotButton="0" quotePrefix="0" xfId="0">
      <alignment horizontal="left" vertical="center"/>
    </xf>
    <xf numFmtId="0" fontId="16" fillId="6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left" vertical="center"/>
    </xf>
    <xf numFmtId="166" fontId="18" fillId="6" borderId="0" applyAlignment="1" pivotButton="0" quotePrefix="0" xfId="0">
      <alignment horizontal="center" vertical="center"/>
    </xf>
    <xf numFmtId="166" fontId="19" fillId="6" borderId="0" applyAlignment="1" pivotButton="0" quotePrefix="0" xfId="0">
      <alignment horizontal="center" vertical="center"/>
    </xf>
    <xf numFmtId="167" fontId="19" fillId="6" borderId="0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1" fillId="6" borderId="8" applyAlignment="1" pivotButton="0" quotePrefix="0" xfId="0">
      <alignment horizontal="left" vertical="center"/>
    </xf>
    <xf numFmtId="0" fontId="20" fillId="6" borderId="0" applyAlignment="1" pivotButton="0" quotePrefix="0" xfId="0">
      <alignment horizontal="center" vertical="center"/>
    </xf>
    <xf numFmtId="0" fontId="14" fillId="6" borderId="0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165" fontId="1" fillId="6" borderId="1" applyAlignment="1" applyProtection="1" pivotButton="0" quotePrefix="0" xfId="0">
      <alignment horizontal="center" vertical="center"/>
      <protection locked="0" hidden="0"/>
    </xf>
    <xf numFmtId="0" fontId="1" fillId="6" borderId="1" applyAlignment="1" applyProtection="1" pivotButton="0" quotePrefix="0" xfId="0">
      <alignment horizontal="left" vertical="center"/>
      <protection locked="0" hidden="0"/>
    </xf>
    <xf numFmtId="166" fontId="1" fillId="6" borderId="1" applyAlignment="1" applyProtection="1" pivotButton="0" quotePrefix="0" xfId="0">
      <alignment horizontal="right" vertical="center"/>
      <protection locked="0" hidden="0"/>
    </xf>
    <xf numFmtId="0" fontId="1" fillId="6" borderId="1" applyAlignment="1" applyProtection="1" pivotButton="0" quotePrefix="0" xfId="0">
      <alignment horizontal="center" vertical="center"/>
      <protection locked="0" hidden="0"/>
    </xf>
    <xf numFmtId="0" fontId="8" fillId="6" borderId="1" applyAlignment="1" pivotButton="0" quotePrefix="0" xfId="0">
      <alignment horizontal="center" vertical="center"/>
    </xf>
    <xf numFmtId="166" fontId="9" fillId="6" borderId="1" applyAlignment="1" pivotButton="0" quotePrefix="0" xfId="0">
      <alignment horizontal="right" vertical="center"/>
    </xf>
    <xf numFmtId="166" fontId="10" fillId="6" borderId="1" applyAlignment="1" pivotButton="0" quotePrefix="0" xfId="0">
      <alignment horizontal="right" vertical="center"/>
    </xf>
    <xf numFmtId="166" fontId="1" fillId="6" borderId="1" applyAlignment="1" pivotButton="0" quotePrefix="0" xfId="0">
      <alignment horizontal="right" vertical="center"/>
    </xf>
    <xf numFmtId="166" fontId="11" fillId="6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166" fontId="11" fillId="5" borderId="1" applyAlignment="1" pivotButton="0" quotePrefix="0" xfId="0">
      <alignment horizontal="right" vertical="center"/>
    </xf>
    <xf numFmtId="0" fontId="7" fillId="2" borderId="0" applyAlignment="1" pivotButton="0" quotePrefix="0" xfId="0">
      <alignment horizontal="left" vertical="center"/>
    </xf>
    <xf numFmtId="166" fontId="12" fillId="6" borderId="1" applyAlignment="1" pivotButton="0" quotePrefix="0" xfId="0">
      <alignment horizontal="right" vertical="center"/>
    </xf>
    <xf numFmtId="167" fontId="1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9" fontId="1" fillId="6" borderId="1" applyAlignment="1" pivotButton="0" quotePrefix="0" xfId="0">
      <alignment horizontal="center" vertical="center"/>
    </xf>
    <xf numFmtId="168" fontId="1" fillId="6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left" vertical="center"/>
    </xf>
    <xf numFmtId="9" fontId="11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14" fillId="6" borderId="1" applyAlignment="1" pivotButton="0" quotePrefix="0" xfId="0">
      <alignment horizontal="center" vertical="center"/>
    </xf>
    <xf numFmtId="165" fontId="1" fillId="6" borderId="1" applyAlignment="1" pivotButton="0" quotePrefix="0" xfId="0">
      <alignment horizontal="center" vertical="center"/>
    </xf>
    <xf numFmtId="1" fontId="1" fillId="6" borderId="1" applyAlignment="1" pivotButton="0" quotePrefix="0" xfId="0">
      <alignment horizontal="center" vertical="center"/>
    </xf>
    <xf numFmtId="166" fontId="15" fillId="6" borderId="1" applyAlignment="1" pivotButton="0" quotePrefix="0" xfId="0">
      <alignment horizontal="right" vertical="center"/>
    </xf>
    <xf numFmtId="0" fontId="11" fillId="6" borderId="1" applyAlignment="1" pivotButton="0" quotePrefix="0" xfId="0">
      <alignment horizontal="left" vertical="center"/>
    </xf>
  </cellXfs>
  <cellStyles count="1">
    <cellStyle name="Normal" xfId="0" builtinId="0" hidden="0"/>
  </cellStyles>
  <dxfs count="11">
    <dxf>
      <font>
        <b val="1"/>
        <color rgb="00FF5252"/>
        <sz val="16"/>
      </font>
    </dxf>
    <dxf>
      <font>
        <b val="1"/>
        <color rgb="00FFD600"/>
        <sz val="16"/>
      </font>
    </dxf>
    <dxf>
      <fill>
        <patternFill patternType="solid">
          <fgColor rgb="007F1D1D"/>
        </patternFill>
      </fill>
    </dxf>
    <dxf>
      <fill>
        <patternFill patternType="solid">
          <fgColor rgb="00713F12"/>
        </patternFill>
      </fill>
    </dxf>
    <dxf>
      <fill>
        <patternFill patternType="solid">
          <fgColor rgb="0014532D"/>
        </patternFill>
      </fill>
    </dxf>
    <dxf>
      <font>
        <b val="1"/>
        <color rgb="0069F0AE"/>
      </font>
    </dxf>
    <dxf>
      <font>
        <b val="1"/>
        <color rgb="00FFD600"/>
      </font>
    </dxf>
    <dxf>
      <font>
        <b val="1"/>
        <color rgb="00FF5252"/>
      </font>
    </dxf>
    <dxf>
      <font>
        <b val="1"/>
        <color rgb="00FFFFFF"/>
      </font>
      <fill>
        <patternFill patternType="solid">
          <fgColor rgb="007F1D1D"/>
        </patternFill>
      </fill>
    </dxf>
    <dxf>
      <font>
        <b val="1"/>
        <color rgb="00FFD600"/>
      </font>
      <fill>
        <patternFill patternType="solid">
          <fgColor rgb="00713F12"/>
        </patternFill>
      </fill>
    </dxf>
    <dxf>
      <font>
        <b val="1"/>
        <color rgb="0069F0AE"/>
      </font>
      <fill>
        <patternFill patternType="solid">
          <fgColor rgb="0014532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Gastos por categoria (mês)</a:t>
            </a:r>
          </a:p>
        </rich>
      </tx>
    </title>
    <plotArea>
      <pieChart>
        <varyColors val="1"/>
        <ser>
          <idx val="0"/>
          <order val="0"/>
          <tx>
            <strRef>
              <f>'📈 Relatórios'!H7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C853"/>
              </a:solidFill>
              <a:ln>
                <a:prstDash val="solid"/>
              </a:ln>
            </spPr>
          </dPt>
          <dPt>
            <idx val="1"/>
            <spPr>
              <a:solidFill>
                <a:srgbClr val="69F0AE"/>
              </a:solidFill>
              <a:ln>
                <a:prstDash val="solid"/>
              </a:ln>
            </spPr>
          </dPt>
          <dPt>
            <idx val="2"/>
            <spPr>
              <a:solidFill>
                <a:srgbClr val="2E7D32"/>
              </a:solidFill>
              <a:ln>
                <a:prstDash val="solid"/>
              </a:ln>
            </spPr>
          </dPt>
          <dPt>
            <idx val="3"/>
            <spPr>
              <a:solidFill>
                <a:srgbClr val="A5D6A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E676"/>
              </a:solidFill>
              <a:ln>
                <a:prstDash val="solid"/>
              </a:ln>
            </spPr>
          </dPt>
          <dPt>
            <idx val="5"/>
            <spPr>
              <a:solidFill>
                <a:srgbClr val="1B5E20"/>
              </a:solidFill>
              <a:ln>
                <a:prstDash val="solid"/>
              </a:ln>
            </spPr>
          </dPt>
          <dPt>
            <idx val="6"/>
            <spPr>
              <a:solidFill>
                <a:srgbClr val="66BB6A"/>
              </a:solidFill>
              <a:ln>
                <a:prstDash val="solid"/>
              </a:ln>
            </spPr>
          </dPt>
          <dPt>
            <idx val="7"/>
            <spPr>
              <a:solidFill>
                <a:srgbClr val="81C784"/>
              </a:solidFill>
              <a:ln>
                <a:prstDash val="solid"/>
              </a:ln>
            </spPr>
          </dPt>
          <dPt>
            <idx val="8"/>
            <spPr>
              <a:solidFill>
                <a:srgbClr val="4CAF50"/>
              </a:solidFill>
              <a:ln>
                <a:prstDash val="solid"/>
              </a:ln>
            </spPr>
          </dPt>
          <dPt>
            <idx val="9"/>
            <spPr>
              <a:solidFill>
                <a:srgbClr val="9E9E9E"/>
              </a:solidFill>
              <a:ln>
                <a:prstDash val="solid"/>
              </a:ln>
            </spPr>
          </dPt>
          <dPt>
            <idx val="10"/>
            <spPr>
              <a:solidFill>
                <a:srgbClr val="616161"/>
              </a:solidFill>
              <a:ln>
                <a:prstDash val="solid"/>
              </a:ln>
            </spPr>
          </dPt>
          <cat>
            <numRef>
              <f>'📈 Relatórios'!$G$8:$G$18</f>
            </numRef>
          </cat>
          <val>
            <numRef>
              <f>'📈 Relatórios'!$H$8:$H$18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Receitas × Despesas por mês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'📈 Relatórios'!B7</f>
            </strRef>
          </tx>
          <spPr>
            <a:solidFill>
              <a:srgbClr val="00C853"/>
            </a:solidFill>
            <a:ln>
              <a:prstDash val="solid"/>
            </a:ln>
          </spPr>
          <cat>
            <numRef>
              <f>'📈 Relatórios'!$A$8:$A$19</f>
            </numRef>
          </cat>
          <val>
            <numRef>
              <f>'📈 Relatórios'!$B$8:$B$19</f>
            </numRef>
          </val>
        </ser>
        <ser>
          <idx val="1"/>
          <order val="1"/>
          <tx>
            <strRef>
              <f>'📈 Relatórios'!C7</f>
            </strRef>
          </tx>
          <spPr>
            <a:solidFill>
              <a:srgbClr val="455A64"/>
            </a:solidFill>
            <a:ln>
              <a:prstDash val="solid"/>
            </a:ln>
          </spPr>
          <cat>
            <numRef>
              <f>'📈 Relatórios'!$A$8:$A$19</f>
            </numRef>
          </cat>
          <val>
            <numRef>
              <f>'📈 Relatórios'!$C$8:$C$19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Evolução do patrimônio no ano</a:t>
            </a:r>
          </a:p>
        </rich>
      </tx>
    </title>
    <plotArea>
      <lineChart>
        <grouping val="standard"/>
        <ser>
          <idx val="0"/>
          <order val="0"/>
          <tx>
            <strRef>
              <f>'📈 Relatórios'!E7</f>
            </strRef>
          </tx>
          <spPr>
            <a:ln w="28575">
              <a:solidFill>
                <a:srgbClr val="00C853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Relatórios'!$A$8:$A$19</f>
            </numRef>
          </cat>
          <val>
            <numRef>
              <f>'📈 Relatórios'!$E$8:$E$19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Gastos por categoria (mês)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'📈 Relatórios'!H7</f>
            </strRef>
          </tx>
          <spPr>
            <a:solidFill>
              <a:srgbClr val="00C853"/>
            </a:solidFill>
            <a:ln>
              <a:prstDash val="solid"/>
            </a:ln>
          </spPr>
          <cat>
            <numRef>
              <f>'📈 Relatórios'!$G$8:$G$18</f>
            </numRef>
          </cat>
          <val>
            <numRef>
              <f>'📈 Relatórios'!$H$8:$H$18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14</row>
      <rowOff>0</rowOff>
    </from>
    <ext cx="396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14</row>
      <rowOff>0</rowOff>
    </from>
    <ext cx="5400000" cy="34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35</row>
      <rowOff>0</rowOff>
    </from>
    <ext cx="864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35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N5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4" customHeight="1">
      <c r="A1" s="1" t="n"/>
      <c r="B1" s="2" t="inlineStr">
        <is>
          <t>📊 Início</t>
        </is>
      </c>
      <c r="C1" s="3" t="inlineStr">
        <is>
          <t>💰 Receitas</t>
        </is>
      </c>
      <c r="D1" s="3" t="inlineStr">
        <is>
          <t>💸 Despesas</t>
        </is>
      </c>
      <c r="E1" s="3" t="inlineStr">
        <is>
          <t>🏦 Contas</t>
        </is>
      </c>
      <c r="F1" s="3" t="inlineStr">
        <is>
          <t>💳 Cartões</t>
        </is>
      </c>
      <c r="G1" s="3" t="inlineStr">
        <is>
          <t>🎯 Metas</t>
        </is>
      </c>
      <c r="H1" s="3" t="inlineStr">
        <is>
          <t>📅 Orçamento</t>
        </is>
      </c>
      <c r="I1" s="3" t="inlineStr">
        <is>
          <t>📈 Relatórios</t>
        </is>
      </c>
      <c r="J1" s="3" t="inlineStr">
        <is>
          <t>🔔 Alertas</t>
        </is>
      </c>
      <c r="K1" s="3" t="inlineStr">
        <is>
          <t>⚙️ Config</t>
        </is>
      </c>
      <c r="L1" s="1" t="n"/>
      <c r="M1" s="1" t="n"/>
      <c r="N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1" t="n"/>
      <c r="B3" s="4" t="inlineStr">
        <is>
          <t>💚 PAINEL FINANCEIRO PESSOAL</t>
        </is>
      </c>
      <c r="I3" s="5" t="inlineStr">
        <is>
          <t>Mês:</t>
        </is>
      </c>
      <c r="J3" s="6" t="n">
        <v>7</v>
      </c>
      <c r="K3" s="5" t="inlineStr">
        <is>
          <t>Ano:</t>
        </is>
      </c>
      <c r="L3" s="6" t="n">
        <v>2026</v>
      </c>
      <c r="M3" s="1" t="n"/>
      <c r="N3" s="1" t="n"/>
    </row>
    <row r="4">
      <c r="A4" s="1" t="n"/>
      <c r="B4" s="7">
        <f>"Visão de "&amp;INDEX('⚙️ Config'!$H$7:$H$18,$J$3)&amp;" de "&amp;$L$3</f>
        <v/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 ht="18" customHeight="1">
      <c r="A6" s="1" t="n"/>
      <c r="B6" s="8" t="inlineStr">
        <is>
          <t>💼 SALDO ATUAL</t>
        </is>
      </c>
      <c r="C6" s="9" t="n"/>
      <c r="D6" s="8" t="inlineStr">
        <is>
          <t>💰 RECEITAS DO MÊS</t>
        </is>
      </c>
      <c r="E6" s="9" t="n"/>
      <c r="F6" s="8" t="inlineStr">
        <is>
          <t>💸 DESPESAS DO MÊS</t>
        </is>
      </c>
      <c r="G6" s="9" t="n"/>
      <c r="H6" s="8" t="inlineStr">
        <is>
          <t>🐷 ECONOMIA DO MÊS</t>
        </is>
      </c>
      <c r="I6" s="9" t="n"/>
      <c r="J6" s="8" t="inlineStr">
        <is>
          <t>📊 % DE GASTOS</t>
        </is>
      </c>
      <c r="K6" s="9" t="n"/>
      <c r="L6" s="1" t="n"/>
      <c r="M6" s="1" t="n"/>
      <c r="N6" s="1" t="n"/>
    </row>
    <row r="7" ht="30" customHeight="1">
      <c r="A7" s="1" t="n"/>
      <c r="B7" s="10">
        <f>'🏦 Contas'!$G$15</f>
        <v/>
      </c>
      <c r="C7" s="9" t="n"/>
      <c r="D7" s="10">
        <f>SUMIFS('💰 Receitas'!$D:$D,'💰 Receitas'!$A:$A,"&gt;="&amp;DATE('📊 Dashboard'!$L$3,'📊 Dashboard'!$J$3,1),'💰 Receitas'!$A:$A,"&lt;="&amp;EOMONTH(DATE('📊 Dashboard'!$L$3,'📊 Dashboard'!$J$3,1),0))</f>
        <v/>
      </c>
      <c r="E7" s="9" t="n"/>
      <c r="F7" s="11">
        <f>SUMIFS('💸 Despesas'!$D:$D,'💸 Despesas'!$A:$A,"&gt;="&amp;DATE('📊 Dashboard'!$L$3,'📊 Dashboard'!$J$3,1),'💸 Despesas'!$A:$A,"&lt;="&amp;EOMONTH(DATE('📊 Dashboard'!$L$3,'📊 Dashboard'!$J$3,1),0))</f>
        <v/>
      </c>
      <c r="G7" s="9" t="n"/>
      <c r="H7" s="10">
        <f>SUMIFS('💰 Receitas'!$D:$D,'💰 Receitas'!$A:$A,"&gt;="&amp;DATE('📊 Dashboard'!$L$3,'📊 Dashboard'!$J$3,1),'💰 Receitas'!$A:$A,"&lt;="&amp;EOMONTH(DATE('📊 Dashboard'!$L$3,'📊 Dashboard'!$J$3,1),0))-SUMIFS('💸 Despesas'!$D:$D,'💸 Despesas'!$A:$A,"&gt;="&amp;DATE('📊 Dashboard'!$L$3,'📊 Dashboard'!$J$3,1),'💸 Despesas'!$A:$A,"&lt;="&amp;EOMONTH(DATE('📊 Dashboard'!$L$3,'📊 Dashboard'!$J$3,1),0))</f>
        <v/>
      </c>
      <c r="I7" s="9" t="n"/>
      <c r="J7" s="12">
        <f>IFERROR(SUMIFS('💸 Despesas'!$D:$D,'💸 Despesas'!$A:$A,"&gt;="&amp;DATE('📊 Dashboard'!$L$3,'📊 Dashboard'!$J$3,1),'💸 Despesas'!$A:$A,"&lt;="&amp;EOMONTH(DATE('📊 Dashboard'!$L$3,'📊 Dashboard'!$J$3,1),0))/SUMIFS('💰 Receitas'!$D:$D,'💰 Receitas'!$A:$A,"&gt;="&amp;DATE('📊 Dashboard'!$L$3,'📊 Dashboard'!$J$3,1),'💰 Receitas'!$A:$A,"&lt;="&amp;EOMONTH(DATE('📊 Dashboard'!$L$3,'📊 Dashboard'!$J$3,1),0)),0)</f>
        <v/>
      </c>
      <c r="K7" s="9" t="n"/>
      <c r="L7" s="1" t="n"/>
      <c r="M7" s="1" t="n"/>
      <c r="N7" s="1" t="n"/>
    </row>
    <row r="8" ht="18" customHeight="1">
      <c r="A8" s="1" t="n"/>
      <c r="B8" s="13">
        <f>"Somando todas as contas"</f>
        <v/>
      </c>
      <c r="C8" s="14" t="n"/>
      <c r="D8" s="13">
        <f>"Entradas do período"</f>
        <v/>
      </c>
      <c r="E8" s="14" t="n"/>
      <c r="F8" s="13">
        <f>"Saídas do período"</f>
        <v/>
      </c>
      <c r="G8" s="14" t="n"/>
      <c r="H8" s="13">
        <f>IF(SUMIFS('💰 Receitas'!$D:$D,'💰 Receitas'!$A:$A,"&gt;="&amp;DATE('📊 Dashboard'!$L$3,'📊 Dashboard'!$J$3,1),'💰 Receitas'!$A:$A,"&lt;="&amp;EOMONTH(DATE('📊 Dashboard'!$L$3,'📊 Dashboard'!$J$3,1),0))=0,"","Taxa de poupança: "&amp;TEXT((SUMIFS('💰 Receitas'!$D:$D,'💰 Receitas'!$A:$A,"&gt;="&amp;DATE('📊 Dashboard'!$L$3,'📊 Dashboard'!$J$3,1),'💰 Receitas'!$A:$A,"&lt;="&amp;EOMONTH(DATE('📊 Dashboard'!$L$3,'📊 Dashboard'!$J$3,1),0))-SUMIFS('💸 Despesas'!$D:$D,'💸 Despesas'!$A:$A,"&gt;="&amp;DATE('📊 Dashboard'!$L$3,'📊 Dashboard'!$J$3,1),'💸 Despesas'!$A:$A,"&lt;="&amp;EOMONTH(DATE('📊 Dashboard'!$L$3,'📊 Dashboard'!$J$3,1),0)))/SUMIFS('💰 Receitas'!$D:$D,'💰 Receitas'!$A:$A,"&gt;="&amp;DATE('📊 Dashboard'!$L$3,'📊 Dashboard'!$J$3,1),'💰 Receitas'!$A:$A,"&lt;="&amp;EOMONTH(DATE('📊 Dashboard'!$L$3,'📊 Dashboard'!$J$3,1),0)),"0%"))</f>
        <v/>
      </c>
      <c r="I8" s="14" t="n"/>
      <c r="J8" s="13">
        <f>IF($J$7&gt;0.9,"🚨 Gastos muito altos",IF($J$7&gt;0.7,"⚠️ Atenção aos gastos","✅ Sob controle"))</f>
        <v/>
      </c>
      <c r="K8" s="14" t="n"/>
      <c r="L8" s="1" t="n"/>
      <c r="M8" s="1" t="n"/>
      <c r="N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</row>
    <row r="10" ht="26" customHeight="1">
      <c r="A10" s="1" t="n"/>
      <c r="B10" s="15">
        <f>IF(SUMIFS('💰 Receitas'!$D:$D,'💰 Receitas'!$A:$A,"&gt;="&amp;DATE('📊 Dashboard'!$L$3,'📊 Dashboard'!$J$3,1),'💰 Receitas'!$A:$A,"&lt;="&amp;EOMONTH(DATE('📊 Dashboard'!$L$3,'📊 Dashboard'!$J$3,1),0))=0,"ℹ️ Nenhuma receita registrada neste mês.",IF(SUMIFS('💰 Receitas'!$D:$D,'💰 Receitas'!$A:$A,"&gt;="&amp;DATE('📊 Dashboard'!$L$3,'📊 Dashboard'!$J$3,1),'💰 Receitas'!$A:$A,"&lt;="&amp;EOMONTH(DATE('📊 Dashboard'!$L$3,'📊 Dashboard'!$J$3,1),0))-SUMIFS('💸 Despesas'!$D:$D,'💸 Despesas'!$A:$A,"&gt;="&amp;DATE('📊 Dashboard'!$L$3,'📊 Dashboard'!$J$3,1),'💸 Despesas'!$A:$A,"&lt;="&amp;EOMONTH(DATE('📊 Dashboard'!$L$3,'📊 Dashboard'!$J$3,1),0))&lt;0,"🔴 CRÍTICO: você gastou mais do que ganhou neste mês!",IF(SUMIFS('💰 Receitas'!$D:$D,'💰 Receitas'!$A:$A,"&gt;="&amp;DATE('📊 Dashboard'!$L$3,'📊 Dashboard'!$J$3,1),'💰 Receitas'!$A:$A,"&lt;="&amp;EOMONTH(DATE('📊 Dashboard'!$L$3,'📊 Dashboard'!$J$3,1),0))-SUMIFS('💸 Despesas'!$D:$D,'💸 Despesas'!$A:$A,"&gt;="&amp;DATE('📊 Dashboard'!$L$3,'📊 Dashboard'!$J$3,1),'💸 Despesas'!$A:$A,"&lt;="&amp;EOMONTH(DATE('📊 Dashboard'!$L$3,'📊 Dashboard'!$J$3,1),0))&lt;0.2*SUMIFS('💰 Receitas'!$D:$D,'💰 Receitas'!$A:$A,"&gt;="&amp;DATE('📊 Dashboard'!$L$3,'📊 Dashboard'!$J$3,1),'💰 Receitas'!$A:$A,"&lt;="&amp;EOMONTH(DATE('📊 Dashboard'!$L$3,'📊 Dashboard'!$J$3,1),0)),"🟡 ATENÇÃO: economia abaixo de 20% da renda.","🟢 EXCELENTE: você está economizando mais de 20% da renda!")))</f>
        <v/>
      </c>
      <c r="L10" s="1" t="n"/>
      <c r="M10" s="1" t="n"/>
      <c r="N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 ht="24" customHeight="1">
      <c r="A12" s="1" t="n"/>
      <c r="B12" s="8" t="inlineStr">
        <is>
          <t>🚨 Orçamentos estourados</t>
        </is>
      </c>
      <c r="C12" s="9" t="n"/>
      <c r="D12" s="16">
        <f>'🔔 Alertas'!$E$7</f>
        <v/>
      </c>
      <c r="E12" s="8" t="inlineStr">
        <is>
          <t>⏰ Contas a vencer (7 dias)</t>
        </is>
      </c>
      <c r="F12" s="9" t="n"/>
      <c r="G12" s="16">
        <f>'🔔 Alertas'!$E$8</f>
        <v/>
      </c>
      <c r="H12" s="8" t="inlineStr">
        <is>
          <t>🔴 Contas vencidas</t>
        </is>
      </c>
      <c r="I12" s="9" t="n"/>
      <c r="J12" s="16">
        <f>'🔔 Alertas'!$E$9</f>
        <v/>
      </c>
      <c r="K12" s="8" t="inlineStr">
        <is>
          <t>🎯 Metas atingidas</t>
        </is>
      </c>
      <c r="L12" s="9" t="n"/>
      <c r="M12" s="16">
        <f>'🔔 Alertas'!$E$10</f>
        <v/>
      </c>
      <c r="N12" s="1" t="n"/>
    </row>
    <row r="13">
      <c r="A13" s="1" t="n"/>
      <c r="B13" s="7">
        <f>"👉 Detalhes na aba 🔔 Alertas"</f>
        <v/>
      </c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mergeCells count="21">
    <mergeCell ref="E12:F12"/>
    <mergeCell ref="B7:C7"/>
    <mergeCell ref="F6:G6"/>
    <mergeCell ref="F7:G7"/>
    <mergeCell ref="B12:C12"/>
    <mergeCell ref="D6:E6"/>
    <mergeCell ref="H6:I6"/>
    <mergeCell ref="J6:K6"/>
    <mergeCell ref="J8:K8"/>
    <mergeCell ref="B3:H3"/>
    <mergeCell ref="B8:C8"/>
    <mergeCell ref="F8:G8"/>
    <mergeCell ref="D7:E7"/>
    <mergeCell ref="K12:L12"/>
    <mergeCell ref="H7:I7"/>
    <mergeCell ref="J7:K7"/>
    <mergeCell ref="D8:E8"/>
    <mergeCell ref="B6:C6"/>
    <mergeCell ref="H12:I12"/>
    <mergeCell ref="H8:I8"/>
    <mergeCell ref="B10:K10"/>
  </mergeCells>
  <conditionalFormatting sqref="H7">
    <cfRule type="expression" priority="1" dxfId="0">
      <formula>$H$7&lt;0</formula>
    </cfRule>
  </conditionalFormatting>
  <conditionalFormatting sqref="J7">
    <cfRule type="expression" priority="2" dxfId="0">
      <formula>$J$7&gt;0.9</formula>
    </cfRule>
    <cfRule type="expression" priority="3" dxfId="1">
      <formula>$J$7&gt;0.7</formula>
    </cfRule>
  </conditionalFormatting>
  <conditionalFormatting sqref="B10">
    <cfRule type="expression" priority="4" dxfId="2">
      <formula>ISNUMBER(SEARCH("CRÍTICO",$B$10))</formula>
    </cfRule>
    <cfRule type="expression" priority="5" dxfId="3">
      <formula>ISNUMBER(SEARCH("ATENÇÃO",$B$10))</formula>
    </cfRule>
    <cfRule type="expression" priority="6" dxfId="4">
      <formula>ISNUMBER(SEARCH("EXCELENTE",$B$10))</formula>
    </cfRule>
  </conditionalFormatting>
  <dataValidations count="2">
    <dataValidation sqref="J3" showDropDown="0" showInputMessage="0" showErrorMessage="0" allowBlank="0" type="list">
      <formula1>=ListaMeses</formula1>
    </dataValidation>
    <dataValidation sqref="L3" showDropDown="0" showInputMessage="0" showErrorMessage="0" allowBlank="0" type="list">
      <formula1>=ListaAnos</formula1>
    </dataValidation>
  </dataValidations>
  <hyperlinks>
    <hyperlink ref="B1" location="'📊 Dashboard'!A1" tooltip="Ir para 📊 Dashboard"/>
    <hyperlink ref="C1" location="'💰 Receitas'!A1" tooltip="Ir para 💰 Receitas"/>
    <hyperlink ref="D1" location="'💸 Despesas'!A1" tooltip="Ir para 💸 Despesas"/>
    <hyperlink ref="E1" location="'🏦 Contas'!A1" tooltip="Ir para 🏦 Contas"/>
    <hyperlink ref="F1" location="'💳 Cartões'!A1" tooltip="Ir para 💳 Cartões"/>
    <hyperlink ref="G1" location="'🎯 Metas'!A1" tooltip="Ir para 🎯 Metas"/>
    <hyperlink ref="H1" location="'📅 Planejamento'!A1" tooltip="Ir para 📅 Planejamento"/>
    <hyperlink ref="I1" location="'📈 Relatórios'!A1" tooltip="Ir para 📈 Relatórios"/>
    <hyperlink ref="J1" location="'🔔 Alertas'!A1" tooltip="Ir para 🔔 Alertas"/>
    <hyperlink ref="K1" location="'⚙️ Config'!A1" tooltip="Ir para ⚙️ Config"/>
  </hyperlink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B5E20"/>
    <outlinePr summaryBelow="1" summaryRight="1"/>
    <pageSetUpPr/>
  </sheetPr>
  <dimension ref="A1:L20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6" customWidth="1" min="3" max="3"/>
    <col width="14" customWidth="1" min="4" max="4"/>
    <col width="20" customWidth="1" min="5" max="5"/>
    <col width="13" customWidth="1" min="6" max="6"/>
    <col width="13" customWidth="1" min="7" max="7"/>
  </cols>
  <sheetData>
    <row r="1" ht="24" customHeight="1">
      <c r="A1" s="1" t="n"/>
      <c r="B1" s="3" t="inlineStr">
        <is>
          <t>📊 Início</t>
        </is>
      </c>
      <c r="C1" s="2" t="inlineStr">
        <is>
          <t>💰 Receitas</t>
        </is>
      </c>
      <c r="D1" s="3" t="inlineStr">
        <is>
          <t>💸 Despesas</t>
        </is>
      </c>
      <c r="E1" s="3" t="inlineStr">
        <is>
          <t>🏦 Contas</t>
        </is>
      </c>
      <c r="F1" s="3" t="inlineStr">
        <is>
          <t>💳 Cartões</t>
        </is>
      </c>
      <c r="G1" s="3" t="inlineStr">
        <is>
          <t>🎯 Metas</t>
        </is>
      </c>
      <c r="H1" s="3" t="inlineStr">
        <is>
          <t>📅 Orçamento</t>
        </is>
      </c>
      <c r="I1" s="3" t="inlineStr">
        <is>
          <t>📈 Relatórios</t>
        </is>
      </c>
      <c r="J1" s="3" t="inlineStr">
        <is>
          <t>🔔 Alertas</t>
        </is>
      </c>
      <c r="K1" s="3" t="inlineStr">
        <is>
          <t>⚙️ Config</t>
        </is>
      </c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1" t="n"/>
      <c r="B3" s="4" t="inlineStr">
        <is>
          <t>💰 Controle de Receitas</t>
        </is>
      </c>
      <c r="C3" s="1" t="n"/>
      <c r="D3" s="1" t="n"/>
      <c r="E3" s="1" t="n"/>
      <c r="F3" s="7">
        <f>"Total recebido: "&amp;TEXT(SUMIFS($D$5:$D$204,$G$5:$G$204,"Recebido")/1000,"0.0")&amp;" mil | Pendente: "&amp;TEXT(SUMIFS($D$5:$D$204,$G$5:$G$204,"Pendente")/1000,"0.0")&amp;" mil"</f>
        <v/>
      </c>
      <c r="G3" s="1" t="n"/>
      <c r="H3" s="1" t="n"/>
      <c r="I3" s="1" t="n"/>
      <c r="J3" s="1" t="n"/>
      <c r="K3" s="1" t="n"/>
      <c r="L3" s="1" t="n"/>
    </row>
    <row r="4">
      <c r="A4" s="17" t="inlineStr">
        <is>
          <t>Data</t>
        </is>
      </c>
      <c r="B4" s="17" t="inlineStr">
        <is>
          <t>Descrição</t>
        </is>
      </c>
      <c r="C4" s="17" t="inlineStr">
        <is>
          <t>Categoria</t>
        </is>
      </c>
      <c r="D4" s="17" t="inlineStr">
        <is>
          <t>Valor</t>
        </is>
      </c>
      <c r="E4" s="17" t="inlineStr">
        <is>
          <t>Forma de Recebimento</t>
        </is>
      </c>
      <c r="F4" s="17" t="inlineStr">
        <is>
          <t>Conta</t>
        </is>
      </c>
      <c r="G4" s="17" t="inlineStr">
        <is>
          <t>Status</t>
        </is>
      </c>
      <c r="H4" s="1" t="n"/>
      <c r="I4" s="1" t="n"/>
      <c r="J4" s="1" t="n"/>
      <c r="K4" s="1" t="n"/>
      <c r="L4" s="1" t="n"/>
    </row>
    <row r="5">
      <c r="A5" s="18" t="n">
        <v>46027</v>
      </c>
      <c r="B5" s="19" t="inlineStr">
        <is>
          <t>Salário mensal</t>
        </is>
      </c>
      <c r="C5" s="19" t="inlineStr">
        <is>
          <t>Salário</t>
        </is>
      </c>
      <c r="D5" s="20" t="n">
        <v>4800</v>
      </c>
      <c r="E5" s="19" t="inlineStr">
        <is>
          <t>Transferência</t>
        </is>
      </c>
      <c r="F5" s="19" t="inlineStr">
        <is>
          <t>Itaú</t>
        </is>
      </c>
      <c r="G5" s="21" t="inlineStr">
        <is>
          <t>Recebido</t>
        </is>
      </c>
      <c r="H5" s="1" t="n"/>
      <c r="I5" s="1" t="n"/>
      <c r="J5" s="1" t="n"/>
      <c r="K5" s="1" t="n"/>
      <c r="L5" s="1" t="n"/>
    </row>
    <row r="6">
      <c r="A6" s="18" t="n">
        <v>46040</v>
      </c>
      <c r="B6" s="19" t="inlineStr">
        <is>
          <t>Projeto de site — freelance</t>
        </is>
      </c>
      <c r="C6" s="19" t="inlineStr">
        <is>
          <t>Freelance</t>
        </is>
      </c>
      <c r="D6" s="20" t="n">
        <v>800</v>
      </c>
      <c r="E6" s="19" t="inlineStr">
        <is>
          <t>Pix</t>
        </is>
      </c>
      <c r="F6" s="19" t="inlineStr">
        <is>
          <t>Nubank</t>
        </is>
      </c>
      <c r="G6" s="21" t="inlineStr">
        <is>
          <t>Recebido</t>
        </is>
      </c>
      <c r="H6" s="1" t="n"/>
      <c r="I6" s="1" t="n"/>
      <c r="J6" s="1" t="n"/>
      <c r="K6" s="1" t="n"/>
      <c r="L6" s="1" t="n"/>
    </row>
    <row r="7">
      <c r="A7" s="18" t="n">
        <v>46058</v>
      </c>
      <c r="B7" s="19" t="inlineStr">
        <is>
          <t>Salário mensal</t>
        </is>
      </c>
      <c r="C7" s="19" t="inlineStr">
        <is>
          <t>Salário</t>
        </is>
      </c>
      <c r="D7" s="20" t="n">
        <v>4800</v>
      </c>
      <c r="E7" s="19" t="inlineStr">
        <is>
          <t>Transferência</t>
        </is>
      </c>
      <c r="F7" s="19" t="inlineStr">
        <is>
          <t>Itaú</t>
        </is>
      </c>
      <c r="G7" s="21" t="inlineStr">
        <is>
          <t>Recebido</t>
        </is>
      </c>
      <c r="H7" s="1" t="n"/>
      <c r="I7" s="1" t="n"/>
      <c r="J7" s="1" t="n"/>
      <c r="K7" s="1" t="n"/>
      <c r="L7" s="1" t="n"/>
    </row>
    <row r="8">
      <c r="A8" s="18" t="n">
        <v>46063</v>
      </c>
      <c r="B8" s="19" t="inlineStr">
        <is>
          <t>Dividendos de FIIs</t>
        </is>
      </c>
      <c r="C8" s="19" t="inlineStr">
        <is>
          <t>Investimentos</t>
        </is>
      </c>
      <c r="D8" s="20" t="n">
        <v>130</v>
      </c>
      <c r="E8" s="19" t="inlineStr">
        <is>
          <t>Transferência</t>
        </is>
      </c>
      <c r="F8" s="19" t="inlineStr">
        <is>
          <t>Inter</t>
        </is>
      </c>
      <c r="G8" s="21" t="inlineStr">
        <is>
          <t>Recebido</t>
        </is>
      </c>
      <c r="H8" s="1" t="n"/>
      <c r="I8" s="1" t="n"/>
      <c r="J8" s="1" t="n"/>
      <c r="K8" s="1" t="n"/>
      <c r="L8" s="1" t="n"/>
    </row>
    <row r="9">
      <c r="A9" s="18" t="n">
        <v>46086</v>
      </c>
      <c r="B9" s="19" t="inlineStr">
        <is>
          <t>Salário mensal</t>
        </is>
      </c>
      <c r="C9" s="19" t="inlineStr">
        <is>
          <t>Salário</t>
        </is>
      </c>
      <c r="D9" s="20" t="n">
        <v>4800</v>
      </c>
      <c r="E9" s="19" t="inlineStr">
        <is>
          <t>Transferência</t>
        </is>
      </c>
      <c r="F9" s="19" t="inlineStr">
        <is>
          <t>Itaú</t>
        </is>
      </c>
      <c r="G9" s="21" t="inlineStr">
        <is>
          <t>Recebido</t>
        </is>
      </c>
      <c r="H9" s="1" t="n"/>
      <c r="I9" s="1" t="n"/>
      <c r="J9" s="1" t="n"/>
      <c r="K9" s="1" t="n"/>
      <c r="L9" s="1" t="n"/>
    </row>
    <row r="10">
      <c r="A10" s="18" t="n">
        <v>46091</v>
      </c>
      <c r="B10" s="19" t="inlineStr">
        <is>
          <t>Dividendos de FIIs</t>
        </is>
      </c>
      <c r="C10" s="19" t="inlineStr">
        <is>
          <t>Investimentos</t>
        </is>
      </c>
      <c r="D10" s="20" t="n">
        <v>145</v>
      </c>
      <c r="E10" s="19" t="inlineStr">
        <is>
          <t>Transferência</t>
        </is>
      </c>
      <c r="F10" s="19" t="inlineStr">
        <is>
          <t>Inter</t>
        </is>
      </c>
      <c r="G10" s="21" t="inlineStr">
        <is>
          <t>Recebido</t>
        </is>
      </c>
      <c r="H10" s="1" t="n"/>
      <c r="I10" s="1" t="n"/>
      <c r="J10" s="1" t="n"/>
      <c r="K10" s="1" t="n"/>
      <c r="L10" s="1" t="n"/>
    </row>
    <row r="11">
      <c r="A11" s="18" t="n">
        <v>46103</v>
      </c>
      <c r="B11" s="19" t="inlineStr">
        <is>
          <t>Consultoria de marketing</t>
        </is>
      </c>
      <c r="C11" s="19" t="inlineStr">
        <is>
          <t>Freelance</t>
        </is>
      </c>
      <c r="D11" s="20" t="n">
        <v>1200</v>
      </c>
      <c r="E11" s="19" t="inlineStr">
        <is>
          <t>Pix</t>
        </is>
      </c>
      <c r="F11" s="19" t="inlineStr">
        <is>
          <t>Nubank</t>
        </is>
      </c>
      <c r="G11" s="21" t="inlineStr">
        <is>
          <t>Recebido</t>
        </is>
      </c>
      <c r="H11" s="1" t="n"/>
      <c r="I11" s="1" t="n"/>
      <c r="J11" s="1" t="n"/>
      <c r="K11" s="1" t="n"/>
      <c r="L11" s="1" t="n"/>
    </row>
    <row r="12">
      <c r="A12" s="18" t="n">
        <v>46117</v>
      </c>
      <c r="B12" s="19" t="inlineStr">
        <is>
          <t>Salário mensal</t>
        </is>
      </c>
      <c r="C12" s="19" t="inlineStr">
        <is>
          <t>Salário</t>
        </is>
      </c>
      <c r="D12" s="20" t="n">
        <v>4800</v>
      </c>
      <c r="E12" s="19" t="inlineStr">
        <is>
          <t>Transferência</t>
        </is>
      </c>
      <c r="F12" s="19" t="inlineStr">
        <is>
          <t>Itaú</t>
        </is>
      </c>
      <c r="G12" s="21" t="inlineStr">
        <is>
          <t>Recebido</t>
        </is>
      </c>
      <c r="H12" s="1" t="n"/>
      <c r="I12" s="1" t="n"/>
      <c r="J12" s="1" t="n"/>
      <c r="K12" s="1" t="n"/>
      <c r="L12" s="1" t="n"/>
    </row>
    <row r="13">
      <c r="A13" s="18" t="n">
        <v>46122</v>
      </c>
      <c r="B13" s="19" t="inlineStr">
        <is>
          <t>Dividendos de FIIs</t>
        </is>
      </c>
      <c r="C13" s="19" t="inlineStr">
        <is>
          <t>Investimentos</t>
        </is>
      </c>
      <c r="D13" s="20" t="n">
        <v>150</v>
      </c>
      <c r="E13" s="19" t="inlineStr">
        <is>
          <t>Transferência</t>
        </is>
      </c>
      <c r="F13" s="19" t="inlineStr">
        <is>
          <t>Inter</t>
        </is>
      </c>
      <c r="G13" s="21" t="inlineStr">
        <is>
          <t>Recebido</t>
        </is>
      </c>
      <c r="H13" s="1" t="n"/>
      <c r="I13" s="1" t="n"/>
      <c r="J13" s="1" t="n"/>
      <c r="K13" s="1" t="n"/>
      <c r="L13" s="1" t="n"/>
    </row>
    <row r="14">
      <c r="A14" s="18" t="n">
        <v>46147</v>
      </c>
      <c r="B14" s="19" t="inlineStr">
        <is>
          <t>Salário mensal</t>
        </is>
      </c>
      <c r="C14" s="19" t="inlineStr">
        <is>
          <t>Salário</t>
        </is>
      </c>
      <c r="D14" s="20" t="n">
        <v>4800</v>
      </c>
      <c r="E14" s="19" t="inlineStr">
        <is>
          <t>Transferência</t>
        </is>
      </c>
      <c r="F14" s="19" t="inlineStr">
        <is>
          <t>Itaú</t>
        </is>
      </c>
      <c r="G14" s="21" t="inlineStr">
        <is>
          <t>Recebido</t>
        </is>
      </c>
      <c r="H14" s="1" t="n"/>
      <c r="I14" s="1" t="n"/>
      <c r="J14" s="1" t="n"/>
      <c r="K14" s="1" t="n"/>
      <c r="L14" s="1" t="n"/>
    </row>
    <row r="15">
      <c r="A15" s="18" t="n">
        <v>46152</v>
      </c>
      <c r="B15" s="19" t="inlineStr">
        <is>
          <t>Dividendos de FIIs</t>
        </is>
      </c>
      <c r="C15" s="19" t="inlineStr">
        <is>
          <t>Investimentos</t>
        </is>
      </c>
      <c r="D15" s="20" t="n">
        <v>138</v>
      </c>
      <c r="E15" s="19" t="inlineStr">
        <is>
          <t>Transferência</t>
        </is>
      </c>
      <c r="F15" s="19" t="inlineStr">
        <is>
          <t>Inter</t>
        </is>
      </c>
      <c r="G15" s="21" t="inlineStr">
        <is>
          <t>Recebido</t>
        </is>
      </c>
      <c r="H15" s="1" t="n"/>
      <c r="I15" s="1" t="n"/>
      <c r="J15" s="1" t="n"/>
      <c r="K15" s="1" t="n"/>
      <c r="L15" s="1" t="n"/>
    </row>
    <row r="16">
      <c r="A16" s="18" t="n">
        <v>46157</v>
      </c>
      <c r="B16" s="19" t="inlineStr">
        <is>
          <t>Criação de logotipo</t>
        </is>
      </c>
      <c r="C16" s="19" t="inlineStr">
        <is>
          <t>Freelance</t>
        </is>
      </c>
      <c r="D16" s="20" t="n">
        <v>950</v>
      </c>
      <c r="E16" s="19" t="inlineStr">
        <is>
          <t>Pix</t>
        </is>
      </c>
      <c r="F16" s="19" t="inlineStr">
        <is>
          <t>Nubank</t>
        </is>
      </c>
      <c r="G16" s="21" t="inlineStr">
        <is>
          <t>Recebido</t>
        </is>
      </c>
      <c r="H16" s="1" t="n"/>
      <c r="I16" s="1" t="n"/>
      <c r="J16" s="1" t="n"/>
      <c r="K16" s="1" t="n"/>
      <c r="L16" s="1" t="n"/>
    </row>
    <row r="17">
      <c r="A17" s="18" t="n">
        <v>46178</v>
      </c>
      <c r="B17" s="19" t="inlineStr">
        <is>
          <t>Salário mensal</t>
        </is>
      </c>
      <c r="C17" s="19" t="inlineStr">
        <is>
          <t>Salário</t>
        </is>
      </c>
      <c r="D17" s="20" t="n">
        <v>4800</v>
      </c>
      <c r="E17" s="19" t="inlineStr">
        <is>
          <t>Transferência</t>
        </is>
      </c>
      <c r="F17" s="19" t="inlineStr">
        <is>
          <t>Itaú</t>
        </is>
      </c>
      <c r="G17" s="21" t="inlineStr">
        <is>
          <t>Recebido</t>
        </is>
      </c>
      <c r="H17" s="1" t="n"/>
      <c r="I17" s="1" t="n"/>
      <c r="J17" s="1" t="n"/>
      <c r="K17" s="1" t="n"/>
      <c r="L17" s="1" t="n"/>
    </row>
    <row r="18">
      <c r="A18" s="18" t="n">
        <v>46183</v>
      </c>
      <c r="B18" s="19" t="inlineStr">
        <is>
          <t>Dividendos de FIIs</t>
        </is>
      </c>
      <c r="C18" s="19" t="inlineStr">
        <is>
          <t>Investimentos</t>
        </is>
      </c>
      <c r="D18" s="20" t="n">
        <v>160</v>
      </c>
      <c r="E18" s="19" t="inlineStr">
        <is>
          <t>Transferência</t>
        </is>
      </c>
      <c r="F18" s="19" t="inlineStr">
        <is>
          <t>Inter</t>
        </is>
      </c>
      <c r="G18" s="21" t="inlineStr">
        <is>
          <t>Recebido</t>
        </is>
      </c>
      <c r="H18" s="1" t="n"/>
      <c r="I18" s="1" t="n"/>
      <c r="J18" s="1" t="n"/>
      <c r="K18" s="1" t="n"/>
      <c r="L18" s="1" t="n"/>
    </row>
    <row r="19">
      <c r="A19" s="18" t="n">
        <v>46208</v>
      </c>
      <c r="B19" s="19" t="inlineStr">
        <is>
          <t>Salário mensal</t>
        </is>
      </c>
      <c r="C19" s="19" t="inlineStr">
        <is>
          <t>Salário</t>
        </is>
      </c>
      <c r="D19" s="20" t="n">
        <v>4800</v>
      </c>
      <c r="E19" s="19" t="inlineStr">
        <is>
          <t>Transferência</t>
        </is>
      </c>
      <c r="F19" s="19" t="inlineStr">
        <is>
          <t>Itaú</t>
        </is>
      </c>
      <c r="G19" s="21" t="inlineStr">
        <is>
          <t>Recebido</t>
        </is>
      </c>
      <c r="H19" s="1" t="n"/>
      <c r="I19" s="1" t="n"/>
      <c r="J19" s="1" t="n"/>
      <c r="K19" s="1" t="n"/>
      <c r="L19" s="1" t="n"/>
    </row>
    <row r="20">
      <c r="A20" s="18" t="n">
        <v>46213</v>
      </c>
      <c r="B20" s="19" t="inlineStr">
        <is>
          <t>Dividendos de FIIs</t>
        </is>
      </c>
      <c r="C20" s="19" t="inlineStr">
        <is>
          <t>Investimentos</t>
        </is>
      </c>
      <c r="D20" s="20" t="n">
        <v>155</v>
      </c>
      <c r="E20" s="19" t="inlineStr">
        <is>
          <t>Transferência</t>
        </is>
      </c>
      <c r="F20" s="19" t="inlineStr">
        <is>
          <t>Inter</t>
        </is>
      </c>
      <c r="G20" s="21" t="inlineStr">
        <is>
          <t>Recebido</t>
        </is>
      </c>
      <c r="H20" s="1" t="n"/>
      <c r="I20" s="1" t="n"/>
      <c r="J20" s="1" t="n"/>
      <c r="K20" s="1" t="n"/>
      <c r="L20" s="1" t="n"/>
    </row>
    <row r="21">
      <c r="A21" s="18" t="n">
        <v>46223</v>
      </c>
      <c r="B21" s="19" t="inlineStr">
        <is>
          <t>Manutenção de site</t>
        </is>
      </c>
      <c r="C21" s="19" t="inlineStr">
        <is>
          <t>Freelance</t>
        </is>
      </c>
      <c r="D21" s="20" t="n">
        <v>600</v>
      </c>
      <c r="E21" s="19" t="inlineStr">
        <is>
          <t>Pix</t>
        </is>
      </c>
      <c r="F21" s="19" t="inlineStr">
        <is>
          <t>Nubank</t>
        </is>
      </c>
      <c r="G21" s="21" t="inlineStr">
        <is>
          <t>Pendente</t>
        </is>
      </c>
      <c r="H21" s="1" t="n"/>
      <c r="I21" s="1" t="n"/>
      <c r="J21" s="1" t="n"/>
      <c r="K21" s="1" t="n"/>
      <c r="L21" s="1" t="n"/>
    </row>
    <row r="22">
      <c r="A22" s="18" t="n"/>
      <c r="B22" s="19" t="n"/>
      <c r="C22" s="19" t="n"/>
      <c r="D22" s="20" t="n"/>
      <c r="E22" s="19" t="n"/>
      <c r="F22" s="19" t="n"/>
      <c r="G22" s="21" t="n"/>
      <c r="H22" s="1" t="n"/>
      <c r="I22" s="1" t="n"/>
      <c r="J22" s="1" t="n"/>
      <c r="K22" s="1" t="n"/>
      <c r="L22" s="1" t="n"/>
    </row>
    <row r="23">
      <c r="A23" s="18" t="n"/>
      <c r="B23" s="19" t="n"/>
      <c r="C23" s="19" t="n"/>
      <c r="D23" s="20" t="n"/>
      <c r="E23" s="19" t="n"/>
      <c r="F23" s="19" t="n"/>
      <c r="G23" s="21" t="n"/>
      <c r="H23" s="1" t="n"/>
      <c r="I23" s="1" t="n"/>
      <c r="J23" s="1" t="n"/>
      <c r="K23" s="1" t="n"/>
      <c r="L23" s="1" t="n"/>
    </row>
    <row r="24">
      <c r="A24" s="18" t="n"/>
      <c r="B24" s="19" t="n"/>
      <c r="C24" s="19" t="n"/>
      <c r="D24" s="20" t="n"/>
      <c r="E24" s="19" t="n"/>
      <c r="F24" s="19" t="n"/>
      <c r="G24" s="21" t="n"/>
      <c r="H24" s="1" t="n"/>
      <c r="I24" s="1" t="n"/>
      <c r="J24" s="1" t="n"/>
      <c r="K24" s="1" t="n"/>
      <c r="L24" s="1" t="n"/>
    </row>
    <row r="25">
      <c r="A25" s="18" t="n"/>
      <c r="B25" s="19" t="n"/>
      <c r="C25" s="19" t="n"/>
      <c r="D25" s="20" t="n"/>
      <c r="E25" s="19" t="n"/>
      <c r="F25" s="19" t="n"/>
      <c r="G25" s="21" t="n"/>
      <c r="H25" s="1" t="n"/>
      <c r="I25" s="1" t="n"/>
      <c r="J25" s="1" t="n"/>
      <c r="K25" s="1" t="n"/>
      <c r="L25" s="1" t="n"/>
    </row>
    <row r="26">
      <c r="A26" s="18" t="n"/>
      <c r="B26" s="19" t="n"/>
      <c r="C26" s="19" t="n"/>
      <c r="D26" s="20" t="n"/>
      <c r="E26" s="19" t="n"/>
      <c r="F26" s="19" t="n"/>
      <c r="G26" s="21" t="n"/>
      <c r="H26" s="1" t="n"/>
      <c r="I26" s="1" t="n"/>
      <c r="J26" s="1" t="n"/>
      <c r="K26" s="1" t="n"/>
      <c r="L26" s="1" t="n"/>
    </row>
    <row r="27">
      <c r="A27" s="18" t="n"/>
      <c r="B27" s="19" t="n"/>
      <c r="C27" s="19" t="n"/>
      <c r="D27" s="20" t="n"/>
      <c r="E27" s="19" t="n"/>
      <c r="F27" s="19" t="n"/>
      <c r="G27" s="21" t="n"/>
      <c r="H27" s="1" t="n"/>
      <c r="I27" s="1" t="n"/>
      <c r="J27" s="1" t="n"/>
      <c r="K27" s="1" t="n"/>
      <c r="L27" s="1" t="n"/>
    </row>
    <row r="28">
      <c r="A28" s="18" t="n"/>
      <c r="B28" s="19" t="n"/>
      <c r="C28" s="19" t="n"/>
      <c r="D28" s="20" t="n"/>
      <c r="E28" s="19" t="n"/>
      <c r="F28" s="19" t="n"/>
      <c r="G28" s="21" t="n"/>
      <c r="H28" s="1" t="n"/>
      <c r="I28" s="1" t="n"/>
      <c r="J28" s="1" t="n"/>
      <c r="K28" s="1" t="n"/>
      <c r="L28" s="1" t="n"/>
    </row>
    <row r="29">
      <c r="A29" s="18" t="n"/>
      <c r="B29" s="19" t="n"/>
      <c r="C29" s="19" t="n"/>
      <c r="D29" s="20" t="n"/>
      <c r="E29" s="19" t="n"/>
      <c r="F29" s="19" t="n"/>
      <c r="G29" s="21" t="n"/>
      <c r="H29" s="1" t="n"/>
      <c r="I29" s="1" t="n"/>
      <c r="J29" s="1" t="n"/>
      <c r="K29" s="1" t="n"/>
      <c r="L29" s="1" t="n"/>
    </row>
    <row r="30">
      <c r="A30" s="18" t="n"/>
      <c r="B30" s="19" t="n"/>
      <c r="C30" s="19" t="n"/>
      <c r="D30" s="20" t="n"/>
      <c r="E30" s="19" t="n"/>
      <c r="F30" s="19" t="n"/>
      <c r="G30" s="21" t="n"/>
      <c r="H30" s="1" t="n"/>
      <c r="I30" s="1" t="n"/>
      <c r="J30" s="1" t="n"/>
      <c r="K30" s="1" t="n"/>
      <c r="L30" s="1" t="n"/>
    </row>
    <row r="31">
      <c r="A31" s="18" t="n"/>
      <c r="B31" s="19" t="n"/>
      <c r="C31" s="19" t="n"/>
      <c r="D31" s="20" t="n"/>
      <c r="E31" s="19" t="n"/>
      <c r="F31" s="19" t="n"/>
      <c r="G31" s="21" t="n"/>
      <c r="H31" s="1" t="n"/>
      <c r="I31" s="1" t="n"/>
      <c r="J31" s="1" t="n"/>
      <c r="K31" s="1" t="n"/>
      <c r="L31" s="1" t="n"/>
    </row>
    <row r="32">
      <c r="A32" s="18" t="n"/>
      <c r="B32" s="19" t="n"/>
      <c r="C32" s="19" t="n"/>
      <c r="D32" s="20" t="n"/>
      <c r="E32" s="19" t="n"/>
      <c r="F32" s="19" t="n"/>
      <c r="G32" s="21" t="n"/>
      <c r="H32" s="1" t="n"/>
      <c r="I32" s="1" t="n"/>
      <c r="J32" s="1" t="n"/>
      <c r="K32" s="1" t="n"/>
      <c r="L32" s="1" t="n"/>
    </row>
    <row r="33">
      <c r="A33" s="18" t="n"/>
      <c r="B33" s="19" t="n"/>
      <c r="C33" s="19" t="n"/>
      <c r="D33" s="20" t="n"/>
      <c r="E33" s="19" t="n"/>
      <c r="F33" s="19" t="n"/>
      <c r="G33" s="21" t="n"/>
      <c r="H33" s="1" t="n"/>
      <c r="I33" s="1" t="n"/>
      <c r="J33" s="1" t="n"/>
      <c r="K33" s="1" t="n"/>
      <c r="L33" s="1" t="n"/>
    </row>
    <row r="34">
      <c r="A34" s="18" t="n"/>
      <c r="B34" s="19" t="n"/>
      <c r="C34" s="19" t="n"/>
      <c r="D34" s="20" t="n"/>
      <c r="E34" s="19" t="n"/>
      <c r="F34" s="19" t="n"/>
      <c r="G34" s="21" t="n"/>
      <c r="H34" s="1" t="n"/>
      <c r="I34" s="1" t="n"/>
      <c r="J34" s="1" t="n"/>
      <c r="K34" s="1" t="n"/>
      <c r="L34" s="1" t="n"/>
    </row>
    <row r="35">
      <c r="A35" s="18" t="n"/>
      <c r="B35" s="19" t="n"/>
      <c r="C35" s="19" t="n"/>
      <c r="D35" s="20" t="n"/>
      <c r="E35" s="19" t="n"/>
      <c r="F35" s="19" t="n"/>
      <c r="G35" s="21" t="n"/>
      <c r="H35" s="1" t="n"/>
      <c r="I35" s="1" t="n"/>
      <c r="J35" s="1" t="n"/>
      <c r="K35" s="1" t="n"/>
      <c r="L35" s="1" t="n"/>
    </row>
    <row r="36">
      <c r="A36" s="18" t="n"/>
      <c r="B36" s="19" t="n"/>
      <c r="C36" s="19" t="n"/>
      <c r="D36" s="20" t="n"/>
      <c r="E36" s="19" t="n"/>
      <c r="F36" s="19" t="n"/>
      <c r="G36" s="21" t="n"/>
      <c r="H36" s="1" t="n"/>
      <c r="I36" s="1" t="n"/>
      <c r="J36" s="1" t="n"/>
      <c r="K36" s="1" t="n"/>
      <c r="L36" s="1" t="n"/>
    </row>
    <row r="37">
      <c r="A37" s="18" t="n"/>
      <c r="B37" s="19" t="n"/>
      <c r="C37" s="19" t="n"/>
      <c r="D37" s="20" t="n"/>
      <c r="E37" s="19" t="n"/>
      <c r="F37" s="19" t="n"/>
      <c r="G37" s="21" t="n"/>
      <c r="H37" s="1" t="n"/>
      <c r="I37" s="1" t="n"/>
      <c r="J37" s="1" t="n"/>
      <c r="K37" s="1" t="n"/>
      <c r="L37" s="1" t="n"/>
    </row>
    <row r="38">
      <c r="A38" s="18" t="n"/>
      <c r="B38" s="19" t="n"/>
      <c r="C38" s="19" t="n"/>
      <c r="D38" s="20" t="n"/>
      <c r="E38" s="19" t="n"/>
      <c r="F38" s="19" t="n"/>
      <c r="G38" s="21" t="n"/>
      <c r="H38" s="1" t="n"/>
      <c r="I38" s="1" t="n"/>
      <c r="J38" s="1" t="n"/>
      <c r="K38" s="1" t="n"/>
      <c r="L38" s="1" t="n"/>
    </row>
    <row r="39">
      <c r="A39" s="18" t="n"/>
      <c r="B39" s="19" t="n"/>
      <c r="C39" s="19" t="n"/>
      <c r="D39" s="20" t="n"/>
      <c r="E39" s="19" t="n"/>
      <c r="F39" s="19" t="n"/>
      <c r="G39" s="21" t="n"/>
      <c r="H39" s="1" t="n"/>
      <c r="I39" s="1" t="n"/>
      <c r="J39" s="1" t="n"/>
      <c r="K39" s="1" t="n"/>
      <c r="L39" s="1" t="n"/>
    </row>
    <row r="40">
      <c r="A40" s="18" t="n"/>
      <c r="B40" s="19" t="n"/>
      <c r="C40" s="19" t="n"/>
      <c r="D40" s="20" t="n"/>
      <c r="E40" s="19" t="n"/>
      <c r="F40" s="19" t="n"/>
      <c r="G40" s="21" t="n"/>
      <c r="H40" s="1" t="n"/>
      <c r="I40" s="1" t="n"/>
      <c r="J40" s="1" t="n"/>
      <c r="K40" s="1" t="n"/>
      <c r="L40" s="1" t="n"/>
    </row>
    <row r="41">
      <c r="A41" s="18" t="n"/>
      <c r="B41" s="19" t="n"/>
      <c r="C41" s="19" t="n"/>
      <c r="D41" s="20" t="n"/>
      <c r="E41" s="19" t="n"/>
      <c r="F41" s="19" t="n"/>
      <c r="G41" s="21" t="n"/>
      <c r="H41" s="1" t="n"/>
      <c r="I41" s="1" t="n"/>
      <c r="J41" s="1" t="n"/>
      <c r="K41" s="1" t="n"/>
      <c r="L41" s="1" t="n"/>
    </row>
    <row r="42">
      <c r="A42" s="18" t="n"/>
      <c r="B42" s="19" t="n"/>
      <c r="C42" s="19" t="n"/>
      <c r="D42" s="20" t="n"/>
      <c r="E42" s="19" t="n"/>
      <c r="F42" s="19" t="n"/>
      <c r="G42" s="21" t="n"/>
      <c r="H42" s="1" t="n"/>
      <c r="I42" s="1" t="n"/>
      <c r="J42" s="1" t="n"/>
      <c r="K42" s="1" t="n"/>
      <c r="L42" s="1" t="n"/>
    </row>
    <row r="43">
      <c r="A43" s="18" t="n"/>
      <c r="B43" s="19" t="n"/>
      <c r="C43" s="19" t="n"/>
      <c r="D43" s="20" t="n"/>
      <c r="E43" s="19" t="n"/>
      <c r="F43" s="19" t="n"/>
      <c r="G43" s="21" t="n"/>
      <c r="H43" s="1" t="n"/>
      <c r="I43" s="1" t="n"/>
      <c r="J43" s="1" t="n"/>
      <c r="K43" s="1" t="n"/>
      <c r="L43" s="1" t="n"/>
    </row>
    <row r="44">
      <c r="A44" s="18" t="n"/>
      <c r="B44" s="19" t="n"/>
      <c r="C44" s="19" t="n"/>
      <c r="D44" s="20" t="n"/>
      <c r="E44" s="19" t="n"/>
      <c r="F44" s="19" t="n"/>
      <c r="G44" s="21" t="n"/>
      <c r="H44" s="1" t="n"/>
      <c r="I44" s="1" t="n"/>
      <c r="J44" s="1" t="n"/>
      <c r="K44" s="1" t="n"/>
      <c r="L44" s="1" t="n"/>
    </row>
    <row r="45">
      <c r="A45" s="18" t="n"/>
      <c r="B45" s="19" t="n"/>
      <c r="C45" s="19" t="n"/>
      <c r="D45" s="20" t="n"/>
      <c r="E45" s="19" t="n"/>
      <c r="F45" s="19" t="n"/>
      <c r="G45" s="21" t="n"/>
      <c r="H45" s="1" t="n"/>
      <c r="I45" s="1" t="n"/>
      <c r="J45" s="1" t="n"/>
      <c r="K45" s="1" t="n"/>
      <c r="L45" s="1" t="n"/>
    </row>
    <row r="46">
      <c r="A46" s="18" t="n"/>
      <c r="B46" s="19" t="n"/>
      <c r="C46" s="19" t="n"/>
      <c r="D46" s="20" t="n"/>
      <c r="E46" s="19" t="n"/>
      <c r="F46" s="19" t="n"/>
      <c r="G46" s="21" t="n"/>
      <c r="H46" s="1" t="n"/>
      <c r="I46" s="1" t="n"/>
      <c r="J46" s="1" t="n"/>
      <c r="K46" s="1" t="n"/>
      <c r="L46" s="1" t="n"/>
    </row>
    <row r="47">
      <c r="A47" s="18" t="n"/>
      <c r="B47" s="19" t="n"/>
      <c r="C47" s="19" t="n"/>
      <c r="D47" s="20" t="n"/>
      <c r="E47" s="19" t="n"/>
      <c r="F47" s="19" t="n"/>
      <c r="G47" s="21" t="n"/>
      <c r="H47" s="1" t="n"/>
      <c r="I47" s="1" t="n"/>
      <c r="J47" s="1" t="n"/>
      <c r="K47" s="1" t="n"/>
      <c r="L47" s="1" t="n"/>
    </row>
    <row r="48">
      <c r="A48" s="18" t="n"/>
      <c r="B48" s="19" t="n"/>
      <c r="C48" s="19" t="n"/>
      <c r="D48" s="20" t="n"/>
      <c r="E48" s="19" t="n"/>
      <c r="F48" s="19" t="n"/>
      <c r="G48" s="21" t="n"/>
      <c r="H48" s="1" t="n"/>
      <c r="I48" s="1" t="n"/>
      <c r="J48" s="1" t="n"/>
      <c r="K48" s="1" t="n"/>
      <c r="L48" s="1" t="n"/>
    </row>
    <row r="49">
      <c r="A49" s="18" t="n"/>
      <c r="B49" s="19" t="n"/>
      <c r="C49" s="19" t="n"/>
      <c r="D49" s="20" t="n"/>
      <c r="E49" s="19" t="n"/>
      <c r="F49" s="19" t="n"/>
      <c r="G49" s="21" t="n"/>
      <c r="H49" s="1" t="n"/>
      <c r="I49" s="1" t="n"/>
      <c r="J49" s="1" t="n"/>
      <c r="K49" s="1" t="n"/>
      <c r="L49" s="1" t="n"/>
    </row>
    <row r="50">
      <c r="A50" s="18" t="n"/>
      <c r="B50" s="19" t="n"/>
      <c r="C50" s="19" t="n"/>
      <c r="D50" s="20" t="n"/>
      <c r="E50" s="19" t="n"/>
      <c r="F50" s="19" t="n"/>
      <c r="G50" s="21" t="n"/>
      <c r="H50" s="1" t="n"/>
      <c r="I50" s="1" t="n"/>
      <c r="J50" s="1" t="n"/>
      <c r="K50" s="1" t="n"/>
      <c r="L50" s="1" t="n"/>
    </row>
    <row r="51">
      <c r="A51" s="18" t="n"/>
      <c r="B51" s="19" t="n"/>
      <c r="C51" s="19" t="n"/>
      <c r="D51" s="20" t="n"/>
      <c r="E51" s="19" t="n"/>
      <c r="F51" s="19" t="n"/>
      <c r="G51" s="21" t="n"/>
      <c r="H51" s="1" t="n"/>
      <c r="I51" s="1" t="n"/>
      <c r="J51" s="1" t="n"/>
      <c r="K51" s="1" t="n"/>
      <c r="L51" s="1" t="n"/>
    </row>
    <row r="52">
      <c r="A52" s="18" t="n"/>
      <c r="B52" s="19" t="n"/>
      <c r="C52" s="19" t="n"/>
      <c r="D52" s="20" t="n"/>
      <c r="E52" s="19" t="n"/>
      <c r="F52" s="19" t="n"/>
      <c r="G52" s="21" t="n"/>
      <c r="H52" s="1" t="n"/>
      <c r="I52" s="1" t="n"/>
      <c r="J52" s="1" t="n"/>
      <c r="K52" s="1" t="n"/>
      <c r="L52" s="1" t="n"/>
    </row>
    <row r="53">
      <c r="A53" s="18" t="n"/>
      <c r="B53" s="19" t="n"/>
      <c r="C53" s="19" t="n"/>
      <c r="D53" s="20" t="n"/>
      <c r="E53" s="19" t="n"/>
      <c r="F53" s="19" t="n"/>
      <c r="G53" s="21" t="n"/>
      <c r="H53" s="1" t="n"/>
      <c r="I53" s="1" t="n"/>
      <c r="J53" s="1" t="n"/>
      <c r="K53" s="1" t="n"/>
      <c r="L53" s="1" t="n"/>
    </row>
    <row r="54">
      <c r="A54" s="18" t="n"/>
      <c r="B54" s="19" t="n"/>
      <c r="C54" s="19" t="n"/>
      <c r="D54" s="20" t="n"/>
      <c r="E54" s="19" t="n"/>
      <c r="F54" s="19" t="n"/>
      <c r="G54" s="21" t="n"/>
      <c r="H54" s="1" t="n"/>
      <c r="I54" s="1" t="n"/>
      <c r="J54" s="1" t="n"/>
      <c r="K54" s="1" t="n"/>
      <c r="L54" s="1" t="n"/>
    </row>
    <row r="55">
      <c r="A55" s="18" t="n"/>
      <c r="B55" s="19" t="n"/>
      <c r="C55" s="19" t="n"/>
      <c r="D55" s="20" t="n"/>
      <c r="E55" s="19" t="n"/>
      <c r="F55" s="19" t="n"/>
      <c r="G55" s="21" t="n"/>
      <c r="H55" s="1" t="n"/>
      <c r="I55" s="1" t="n"/>
      <c r="J55" s="1" t="n"/>
      <c r="K55" s="1" t="n"/>
      <c r="L55" s="1" t="n"/>
    </row>
    <row r="56">
      <c r="A56" s="18" t="n"/>
      <c r="B56" s="19" t="n"/>
      <c r="C56" s="19" t="n"/>
      <c r="D56" s="20" t="n"/>
      <c r="E56" s="19" t="n"/>
      <c r="F56" s="19" t="n"/>
      <c r="G56" s="21" t="n"/>
      <c r="H56" s="1" t="n"/>
      <c r="I56" s="1" t="n"/>
      <c r="J56" s="1" t="n"/>
      <c r="K56" s="1" t="n"/>
      <c r="L56" s="1" t="n"/>
    </row>
    <row r="57">
      <c r="A57" s="18" t="n"/>
      <c r="B57" s="19" t="n"/>
      <c r="C57" s="19" t="n"/>
      <c r="D57" s="20" t="n"/>
      <c r="E57" s="19" t="n"/>
      <c r="F57" s="19" t="n"/>
      <c r="G57" s="21" t="n"/>
      <c r="H57" s="1" t="n"/>
      <c r="I57" s="1" t="n"/>
      <c r="J57" s="1" t="n"/>
      <c r="K57" s="1" t="n"/>
      <c r="L57" s="1" t="n"/>
    </row>
    <row r="58">
      <c r="A58" s="18" t="n"/>
      <c r="B58" s="19" t="n"/>
      <c r="C58" s="19" t="n"/>
      <c r="D58" s="20" t="n"/>
      <c r="E58" s="19" t="n"/>
      <c r="F58" s="19" t="n"/>
      <c r="G58" s="21" t="n"/>
      <c r="H58" s="1" t="n"/>
      <c r="I58" s="1" t="n"/>
      <c r="J58" s="1" t="n"/>
      <c r="K58" s="1" t="n"/>
      <c r="L58" s="1" t="n"/>
    </row>
    <row r="59">
      <c r="A59" s="18" t="n"/>
      <c r="B59" s="19" t="n"/>
      <c r="C59" s="19" t="n"/>
      <c r="D59" s="20" t="n"/>
      <c r="E59" s="19" t="n"/>
      <c r="F59" s="19" t="n"/>
      <c r="G59" s="21" t="n"/>
      <c r="H59" s="1" t="n"/>
      <c r="I59" s="1" t="n"/>
      <c r="J59" s="1" t="n"/>
      <c r="K59" s="1" t="n"/>
      <c r="L59" s="1" t="n"/>
    </row>
    <row r="60">
      <c r="A60" s="18" t="n"/>
      <c r="B60" s="19" t="n"/>
      <c r="C60" s="19" t="n"/>
      <c r="D60" s="20" t="n"/>
      <c r="E60" s="19" t="n"/>
      <c r="F60" s="19" t="n"/>
      <c r="G60" s="21" t="n"/>
      <c r="H60" s="1" t="n"/>
      <c r="I60" s="1" t="n"/>
      <c r="J60" s="1" t="n"/>
      <c r="K60" s="1" t="n"/>
      <c r="L60" s="1" t="n"/>
    </row>
    <row r="61">
      <c r="A61" s="18" t="n"/>
      <c r="B61" s="19" t="n"/>
      <c r="C61" s="19" t="n"/>
      <c r="D61" s="20" t="n"/>
      <c r="E61" s="19" t="n"/>
      <c r="F61" s="19" t="n"/>
      <c r="G61" s="21" t="n"/>
      <c r="H61" s="1" t="n"/>
      <c r="I61" s="1" t="n"/>
      <c r="J61" s="1" t="n"/>
      <c r="K61" s="1" t="n"/>
      <c r="L61" s="1" t="n"/>
    </row>
    <row r="62">
      <c r="A62" s="18" t="n"/>
      <c r="B62" s="19" t="n"/>
      <c r="C62" s="19" t="n"/>
      <c r="D62" s="20" t="n"/>
      <c r="E62" s="19" t="n"/>
      <c r="F62" s="19" t="n"/>
      <c r="G62" s="21" t="n"/>
      <c r="H62" s="1" t="n"/>
      <c r="I62" s="1" t="n"/>
      <c r="J62" s="1" t="n"/>
      <c r="K62" s="1" t="n"/>
      <c r="L62" s="1" t="n"/>
    </row>
    <row r="63">
      <c r="A63" s="18" t="n"/>
      <c r="B63" s="19" t="n"/>
      <c r="C63" s="19" t="n"/>
      <c r="D63" s="20" t="n"/>
      <c r="E63" s="19" t="n"/>
      <c r="F63" s="19" t="n"/>
      <c r="G63" s="21" t="n"/>
      <c r="H63" s="1" t="n"/>
      <c r="I63" s="1" t="n"/>
      <c r="J63" s="1" t="n"/>
      <c r="K63" s="1" t="n"/>
      <c r="L63" s="1" t="n"/>
    </row>
    <row r="64">
      <c r="A64" s="18" t="n"/>
      <c r="B64" s="19" t="n"/>
      <c r="C64" s="19" t="n"/>
      <c r="D64" s="20" t="n"/>
      <c r="E64" s="19" t="n"/>
      <c r="F64" s="19" t="n"/>
      <c r="G64" s="21" t="n"/>
      <c r="H64" s="1" t="n"/>
      <c r="I64" s="1" t="n"/>
      <c r="J64" s="1" t="n"/>
      <c r="K64" s="1" t="n"/>
      <c r="L64" s="1" t="n"/>
    </row>
    <row r="65">
      <c r="A65" s="18" t="n"/>
      <c r="B65" s="19" t="n"/>
      <c r="C65" s="19" t="n"/>
      <c r="D65" s="20" t="n"/>
      <c r="E65" s="19" t="n"/>
      <c r="F65" s="19" t="n"/>
      <c r="G65" s="21" t="n"/>
      <c r="H65" s="1" t="n"/>
      <c r="I65" s="1" t="n"/>
      <c r="J65" s="1" t="n"/>
      <c r="K65" s="1" t="n"/>
      <c r="L65" s="1" t="n"/>
    </row>
    <row r="66">
      <c r="A66" s="18" t="n"/>
      <c r="B66" s="19" t="n"/>
      <c r="C66" s="19" t="n"/>
      <c r="D66" s="20" t="n"/>
      <c r="E66" s="19" t="n"/>
      <c r="F66" s="19" t="n"/>
      <c r="G66" s="21" t="n"/>
      <c r="H66" s="1" t="n"/>
      <c r="I66" s="1" t="n"/>
      <c r="J66" s="1" t="n"/>
      <c r="K66" s="1" t="n"/>
      <c r="L66" s="1" t="n"/>
    </row>
    <row r="67">
      <c r="A67" s="18" t="n"/>
      <c r="B67" s="19" t="n"/>
      <c r="C67" s="19" t="n"/>
      <c r="D67" s="20" t="n"/>
      <c r="E67" s="19" t="n"/>
      <c r="F67" s="19" t="n"/>
      <c r="G67" s="21" t="n"/>
      <c r="H67" s="1" t="n"/>
      <c r="I67" s="1" t="n"/>
      <c r="J67" s="1" t="n"/>
      <c r="K67" s="1" t="n"/>
      <c r="L67" s="1" t="n"/>
    </row>
    <row r="68">
      <c r="A68" s="18" t="n"/>
      <c r="B68" s="19" t="n"/>
      <c r="C68" s="19" t="n"/>
      <c r="D68" s="20" t="n"/>
      <c r="E68" s="19" t="n"/>
      <c r="F68" s="19" t="n"/>
      <c r="G68" s="21" t="n"/>
      <c r="H68" s="1" t="n"/>
      <c r="I68" s="1" t="n"/>
      <c r="J68" s="1" t="n"/>
      <c r="K68" s="1" t="n"/>
      <c r="L68" s="1" t="n"/>
    </row>
    <row r="69">
      <c r="A69" s="18" t="n"/>
      <c r="B69" s="19" t="n"/>
      <c r="C69" s="19" t="n"/>
      <c r="D69" s="20" t="n"/>
      <c r="E69" s="19" t="n"/>
      <c r="F69" s="19" t="n"/>
      <c r="G69" s="21" t="n"/>
      <c r="H69" s="1" t="n"/>
      <c r="I69" s="1" t="n"/>
      <c r="J69" s="1" t="n"/>
      <c r="K69" s="1" t="n"/>
      <c r="L69" s="1" t="n"/>
    </row>
    <row r="70">
      <c r="A70" s="18" t="n"/>
      <c r="B70" s="19" t="n"/>
      <c r="C70" s="19" t="n"/>
      <c r="D70" s="20" t="n"/>
      <c r="E70" s="19" t="n"/>
      <c r="F70" s="19" t="n"/>
      <c r="G70" s="21" t="n"/>
      <c r="H70" s="1" t="n"/>
      <c r="I70" s="1" t="n"/>
      <c r="J70" s="1" t="n"/>
      <c r="K70" s="1" t="n"/>
      <c r="L70" s="1" t="n"/>
    </row>
    <row r="71">
      <c r="A71" s="18" t="n"/>
      <c r="B71" s="19" t="n"/>
      <c r="C71" s="19" t="n"/>
      <c r="D71" s="20" t="n"/>
      <c r="E71" s="19" t="n"/>
      <c r="F71" s="19" t="n"/>
      <c r="G71" s="21" t="n"/>
      <c r="H71" s="1" t="n"/>
      <c r="I71" s="1" t="n"/>
      <c r="J71" s="1" t="n"/>
      <c r="K71" s="1" t="n"/>
      <c r="L71" s="1" t="n"/>
    </row>
    <row r="72">
      <c r="A72" s="18" t="n"/>
      <c r="B72" s="19" t="n"/>
      <c r="C72" s="19" t="n"/>
      <c r="D72" s="20" t="n"/>
      <c r="E72" s="19" t="n"/>
      <c r="F72" s="19" t="n"/>
      <c r="G72" s="21" t="n"/>
      <c r="H72" s="1" t="n"/>
      <c r="I72" s="1" t="n"/>
      <c r="J72" s="1" t="n"/>
      <c r="K72" s="1" t="n"/>
      <c r="L72" s="1" t="n"/>
    </row>
    <row r="73">
      <c r="A73" s="18" t="n"/>
      <c r="B73" s="19" t="n"/>
      <c r="C73" s="19" t="n"/>
      <c r="D73" s="20" t="n"/>
      <c r="E73" s="19" t="n"/>
      <c r="F73" s="19" t="n"/>
      <c r="G73" s="21" t="n"/>
      <c r="H73" s="1" t="n"/>
      <c r="I73" s="1" t="n"/>
      <c r="J73" s="1" t="n"/>
      <c r="K73" s="1" t="n"/>
      <c r="L73" s="1" t="n"/>
    </row>
    <row r="74">
      <c r="A74" s="18" t="n"/>
      <c r="B74" s="19" t="n"/>
      <c r="C74" s="19" t="n"/>
      <c r="D74" s="20" t="n"/>
      <c r="E74" s="19" t="n"/>
      <c r="F74" s="19" t="n"/>
      <c r="G74" s="21" t="n"/>
      <c r="H74" s="1" t="n"/>
      <c r="I74" s="1" t="n"/>
      <c r="J74" s="1" t="n"/>
      <c r="K74" s="1" t="n"/>
      <c r="L74" s="1" t="n"/>
    </row>
    <row r="75">
      <c r="A75" s="18" t="n"/>
      <c r="B75" s="19" t="n"/>
      <c r="C75" s="19" t="n"/>
      <c r="D75" s="20" t="n"/>
      <c r="E75" s="19" t="n"/>
      <c r="F75" s="19" t="n"/>
      <c r="G75" s="21" t="n"/>
      <c r="H75" s="1" t="n"/>
      <c r="I75" s="1" t="n"/>
      <c r="J75" s="1" t="n"/>
      <c r="K75" s="1" t="n"/>
      <c r="L75" s="1" t="n"/>
    </row>
    <row r="76">
      <c r="A76" s="18" t="n"/>
      <c r="B76" s="19" t="n"/>
      <c r="C76" s="19" t="n"/>
      <c r="D76" s="20" t="n"/>
      <c r="E76" s="19" t="n"/>
      <c r="F76" s="19" t="n"/>
      <c r="G76" s="21" t="n"/>
      <c r="H76" s="1" t="n"/>
      <c r="I76" s="1" t="n"/>
      <c r="J76" s="1" t="n"/>
      <c r="K76" s="1" t="n"/>
      <c r="L76" s="1" t="n"/>
    </row>
    <row r="77">
      <c r="A77" s="18" t="n"/>
      <c r="B77" s="19" t="n"/>
      <c r="C77" s="19" t="n"/>
      <c r="D77" s="20" t="n"/>
      <c r="E77" s="19" t="n"/>
      <c r="F77" s="19" t="n"/>
      <c r="G77" s="21" t="n"/>
      <c r="H77" s="1" t="n"/>
      <c r="I77" s="1" t="n"/>
      <c r="J77" s="1" t="n"/>
      <c r="K77" s="1" t="n"/>
      <c r="L77" s="1" t="n"/>
    </row>
    <row r="78">
      <c r="A78" s="18" t="n"/>
      <c r="B78" s="19" t="n"/>
      <c r="C78" s="19" t="n"/>
      <c r="D78" s="20" t="n"/>
      <c r="E78" s="19" t="n"/>
      <c r="F78" s="19" t="n"/>
      <c r="G78" s="21" t="n"/>
      <c r="H78" s="1" t="n"/>
      <c r="I78" s="1" t="n"/>
      <c r="J78" s="1" t="n"/>
      <c r="K78" s="1" t="n"/>
      <c r="L78" s="1" t="n"/>
    </row>
    <row r="79">
      <c r="A79" s="18" t="n"/>
      <c r="B79" s="19" t="n"/>
      <c r="C79" s="19" t="n"/>
      <c r="D79" s="20" t="n"/>
      <c r="E79" s="19" t="n"/>
      <c r="F79" s="19" t="n"/>
      <c r="G79" s="21" t="n"/>
      <c r="H79" s="1" t="n"/>
      <c r="I79" s="1" t="n"/>
      <c r="J79" s="1" t="n"/>
      <c r="K79" s="1" t="n"/>
      <c r="L79" s="1" t="n"/>
    </row>
    <row r="80">
      <c r="A80" s="18" t="n"/>
      <c r="B80" s="19" t="n"/>
      <c r="C80" s="19" t="n"/>
      <c r="D80" s="20" t="n"/>
      <c r="E80" s="19" t="n"/>
      <c r="F80" s="19" t="n"/>
      <c r="G80" s="21" t="n"/>
      <c r="H80" s="1" t="n"/>
      <c r="I80" s="1" t="n"/>
      <c r="J80" s="1" t="n"/>
      <c r="K80" s="1" t="n"/>
      <c r="L80" s="1" t="n"/>
    </row>
    <row r="81">
      <c r="A81" s="18" t="n"/>
      <c r="B81" s="19" t="n"/>
      <c r="C81" s="19" t="n"/>
      <c r="D81" s="20" t="n"/>
      <c r="E81" s="19" t="n"/>
      <c r="F81" s="19" t="n"/>
      <c r="G81" s="21" t="n"/>
      <c r="H81" s="1" t="n"/>
      <c r="I81" s="1" t="n"/>
      <c r="J81" s="1" t="n"/>
      <c r="K81" s="1" t="n"/>
      <c r="L81" s="1" t="n"/>
    </row>
    <row r="82">
      <c r="A82" s="18" t="n"/>
      <c r="B82" s="19" t="n"/>
      <c r="C82" s="19" t="n"/>
      <c r="D82" s="20" t="n"/>
      <c r="E82" s="19" t="n"/>
      <c r="F82" s="19" t="n"/>
      <c r="G82" s="21" t="n"/>
      <c r="H82" s="1" t="n"/>
      <c r="I82" s="1" t="n"/>
      <c r="J82" s="1" t="n"/>
      <c r="K82" s="1" t="n"/>
      <c r="L82" s="1" t="n"/>
    </row>
    <row r="83">
      <c r="A83" s="18" t="n"/>
      <c r="B83" s="19" t="n"/>
      <c r="C83" s="19" t="n"/>
      <c r="D83" s="20" t="n"/>
      <c r="E83" s="19" t="n"/>
      <c r="F83" s="19" t="n"/>
      <c r="G83" s="21" t="n"/>
      <c r="H83" s="1" t="n"/>
      <c r="I83" s="1" t="n"/>
      <c r="J83" s="1" t="n"/>
      <c r="K83" s="1" t="n"/>
      <c r="L83" s="1" t="n"/>
    </row>
    <row r="84">
      <c r="A84" s="18" t="n"/>
      <c r="B84" s="19" t="n"/>
      <c r="C84" s="19" t="n"/>
      <c r="D84" s="20" t="n"/>
      <c r="E84" s="19" t="n"/>
      <c r="F84" s="19" t="n"/>
      <c r="G84" s="21" t="n"/>
      <c r="H84" s="1" t="n"/>
      <c r="I84" s="1" t="n"/>
      <c r="J84" s="1" t="n"/>
      <c r="K84" s="1" t="n"/>
      <c r="L84" s="1" t="n"/>
    </row>
    <row r="85">
      <c r="A85" s="18" t="n"/>
      <c r="B85" s="19" t="n"/>
      <c r="C85" s="19" t="n"/>
      <c r="D85" s="20" t="n"/>
      <c r="E85" s="19" t="n"/>
      <c r="F85" s="19" t="n"/>
      <c r="G85" s="21" t="n"/>
      <c r="H85" s="1" t="n"/>
      <c r="I85" s="1" t="n"/>
      <c r="J85" s="1" t="n"/>
      <c r="K85" s="1" t="n"/>
      <c r="L85" s="1" t="n"/>
    </row>
    <row r="86">
      <c r="A86" s="18" t="n"/>
      <c r="B86" s="19" t="n"/>
      <c r="C86" s="19" t="n"/>
      <c r="D86" s="20" t="n"/>
      <c r="E86" s="19" t="n"/>
      <c r="F86" s="19" t="n"/>
      <c r="G86" s="21" t="n"/>
      <c r="H86" s="1" t="n"/>
      <c r="I86" s="1" t="n"/>
      <c r="J86" s="1" t="n"/>
      <c r="K86" s="1" t="n"/>
      <c r="L86" s="1" t="n"/>
    </row>
    <row r="87">
      <c r="A87" s="18" t="n"/>
      <c r="B87" s="19" t="n"/>
      <c r="C87" s="19" t="n"/>
      <c r="D87" s="20" t="n"/>
      <c r="E87" s="19" t="n"/>
      <c r="F87" s="19" t="n"/>
      <c r="G87" s="21" t="n"/>
      <c r="H87" s="1" t="n"/>
      <c r="I87" s="1" t="n"/>
      <c r="J87" s="1" t="n"/>
      <c r="K87" s="1" t="n"/>
      <c r="L87" s="1" t="n"/>
    </row>
    <row r="88">
      <c r="A88" s="18" t="n"/>
      <c r="B88" s="19" t="n"/>
      <c r="C88" s="19" t="n"/>
      <c r="D88" s="20" t="n"/>
      <c r="E88" s="19" t="n"/>
      <c r="F88" s="19" t="n"/>
      <c r="G88" s="21" t="n"/>
      <c r="H88" s="1" t="n"/>
      <c r="I88" s="1" t="n"/>
      <c r="J88" s="1" t="n"/>
      <c r="K88" s="1" t="n"/>
      <c r="L88" s="1" t="n"/>
    </row>
    <row r="89">
      <c r="A89" s="18" t="n"/>
      <c r="B89" s="19" t="n"/>
      <c r="C89" s="19" t="n"/>
      <c r="D89" s="20" t="n"/>
      <c r="E89" s="19" t="n"/>
      <c r="F89" s="19" t="n"/>
      <c r="G89" s="21" t="n"/>
      <c r="H89" s="1" t="n"/>
      <c r="I89" s="1" t="n"/>
      <c r="J89" s="1" t="n"/>
      <c r="K89" s="1" t="n"/>
      <c r="L89" s="1" t="n"/>
    </row>
    <row r="90">
      <c r="A90" s="18" t="n"/>
      <c r="B90" s="19" t="n"/>
      <c r="C90" s="19" t="n"/>
      <c r="D90" s="20" t="n"/>
      <c r="E90" s="19" t="n"/>
      <c r="F90" s="19" t="n"/>
      <c r="G90" s="21" t="n"/>
      <c r="H90" s="1" t="n"/>
      <c r="I90" s="1" t="n"/>
      <c r="J90" s="1" t="n"/>
      <c r="K90" s="1" t="n"/>
      <c r="L90" s="1" t="n"/>
    </row>
    <row r="91">
      <c r="A91" s="18" t="n"/>
      <c r="B91" s="19" t="n"/>
      <c r="C91" s="19" t="n"/>
      <c r="D91" s="20" t="n"/>
      <c r="E91" s="19" t="n"/>
      <c r="F91" s="19" t="n"/>
      <c r="G91" s="21" t="n"/>
      <c r="H91" s="1" t="n"/>
      <c r="I91" s="1" t="n"/>
      <c r="J91" s="1" t="n"/>
      <c r="K91" s="1" t="n"/>
      <c r="L91" s="1" t="n"/>
    </row>
    <row r="92">
      <c r="A92" s="18" t="n"/>
      <c r="B92" s="19" t="n"/>
      <c r="C92" s="19" t="n"/>
      <c r="D92" s="20" t="n"/>
      <c r="E92" s="19" t="n"/>
      <c r="F92" s="19" t="n"/>
      <c r="G92" s="21" t="n"/>
      <c r="H92" s="1" t="n"/>
      <c r="I92" s="1" t="n"/>
      <c r="J92" s="1" t="n"/>
      <c r="K92" s="1" t="n"/>
      <c r="L92" s="1" t="n"/>
    </row>
    <row r="93">
      <c r="A93" s="18" t="n"/>
      <c r="B93" s="19" t="n"/>
      <c r="C93" s="19" t="n"/>
      <c r="D93" s="20" t="n"/>
      <c r="E93" s="19" t="n"/>
      <c r="F93" s="19" t="n"/>
      <c r="G93" s="21" t="n"/>
      <c r="H93" s="1" t="n"/>
      <c r="I93" s="1" t="n"/>
      <c r="J93" s="1" t="n"/>
      <c r="K93" s="1" t="n"/>
      <c r="L93" s="1" t="n"/>
    </row>
    <row r="94">
      <c r="A94" s="18" t="n"/>
      <c r="B94" s="19" t="n"/>
      <c r="C94" s="19" t="n"/>
      <c r="D94" s="20" t="n"/>
      <c r="E94" s="19" t="n"/>
      <c r="F94" s="19" t="n"/>
      <c r="G94" s="21" t="n"/>
      <c r="H94" s="1" t="n"/>
      <c r="I94" s="1" t="n"/>
      <c r="J94" s="1" t="n"/>
      <c r="K94" s="1" t="n"/>
      <c r="L94" s="1" t="n"/>
    </row>
    <row r="95">
      <c r="A95" s="18" t="n"/>
      <c r="B95" s="19" t="n"/>
      <c r="C95" s="19" t="n"/>
      <c r="D95" s="20" t="n"/>
      <c r="E95" s="19" t="n"/>
      <c r="F95" s="19" t="n"/>
      <c r="G95" s="21" t="n"/>
      <c r="H95" s="1" t="n"/>
      <c r="I95" s="1" t="n"/>
      <c r="J95" s="1" t="n"/>
      <c r="K95" s="1" t="n"/>
      <c r="L95" s="1" t="n"/>
    </row>
    <row r="96">
      <c r="A96" s="18" t="n"/>
      <c r="B96" s="19" t="n"/>
      <c r="C96" s="19" t="n"/>
      <c r="D96" s="20" t="n"/>
      <c r="E96" s="19" t="n"/>
      <c r="F96" s="19" t="n"/>
      <c r="G96" s="21" t="n"/>
      <c r="H96" s="1" t="n"/>
      <c r="I96" s="1" t="n"/>
      <c r="J96" s="1" t="n"/>
      <c r="K96" s="1" t="n"/>
      <c r="L96" s="1" t="n"/>
    </row>
    <row r="97">
      <c r="A97" s="18" t="n"/>
      <c r="B97" s="19" t="n"/>
      <c r="C97" s="19" t="n"/>
      <c r="D97" s="20" t="n"/>
      <c r="E97" s="19" t="n"/>
      <c r="F97" s="19" t="n"/>
      <c r="G97" s="21" t="n"/>
      <c r="H97" s="1" t="n"/>
      <c r="I97" s="1" t="n"/>
      <c r="J97" s="1" t="n"/>
      <c r="K97" s="1" t="n"/>
      <c r="L97" s="1" t="n"/>
    </row>
    <row r="98">
      <c r="A98" s="18" t="n"/>
      <c r="B98" s="19" t="n"/>
      <c r="C98" s="19" t="n"/>
      <c r="D98" s="20" t="n"/>
      <c r="E98" s="19" t="n"/>
      <c r="F98" s="19" t="n"/>
      <c r="G98" s="21" t="n"/>
      <c r="H98" s="1" t="n"/>
      <c r="I98" s="1" t="n"/>
      <c r="J98" s="1" t="n"/>
      <c r="K98" s="1" t="n"/>
      <c r="L98" s="1" t="n"/>
    </row>
    <row r="99">
      <c r="A99" s="18" t="n"/>
      <c r="B99" s="19" t="n"/>
      <c r="C99" s="19" t="n"/>
      <c r="D99" s="20" t="n"/>
      <c r="E99" s="19" t="n"/>
      <c r="F99" s="19" t="n"/>
      <c r="G99" s="21" t="n"/>
      <c r="H99" s="1" t="n"/>
      <c r="I99" s="1" t="n"/>
      <c r="J99" s="1" t="n"/>
      <c r="K99" s="1" t="n"/>
      <c r="L99" s="1" t="n"/>
    </row>
    <row r="100">
      <c r="A100" s="18" t="n"/>
      <c r="B100" s="19" t="n"/>
      <c r="C100" s="19" t="n"/>
      <c r="D100" s="20" t="n"/>
      <c r="E100" s="19" t="n"/>
      <c r="F100" s="19" t="n"/>
      <c r="G100" s="21" t="n"/>
      <c r="H100" s="1" t="n"/>
      <c r="I100" s="1" t="n"/>
      <c r="J100" s="1" t="n"/>
      <c r="K100" s="1" t="n"/>
      <c r="L100" s="1" t="n"/>
    </row>
    <row r="101">
      <c r="A101" s="18" t="n"/>
      <c r="B101" s="19" t="n"/>
      <c r="C101" s="19" t="n"/>
      <c r="D101" s="20" t="n"/>
      <c r="E101" s="19" t="n"/>
      <c r="F101" s="19" t="n"/>
      <c r="G101" s="21" t="n"/>
      <c r="H101" s="1" t="n"/>
      <c r="I101" s="1" t="n"/>
      <c r="J101" s="1" t="n"/>
      <c r="K101" s="1" t="n"/>
      <c r="L101" s="1" t="n"/>
    </row>
    <row r="102">
      <c r="A102" s="18" t="n"/>
      <c r="B102" s="19" t="n"/>
      <c r="C102" s="19" t="n"/>
      <c r="D102" s="20" t="n"/>
      <c r="E102" s="19" t="n"/>
      <c r="F102" s="19" t="n"/>
      <c r="G102" s="21" t="n"/>
      <c r="H102" s="1" t="n"/>
      <c r="I102" s="1" t="n"/>
      <c r="J102" s="1" t="n"/>
      <c r="K102" s="1" t="n"/>
      <c r="L102" s="1" t="n"/>
    </row>
    <row r="103">
      <c r="A103" s="18" t="n"/>
      <c r="B103" s="19" t="n"/>
      <c r="C103" s="19" t="n"/>
      <c r="D103" s="20" t="n"/>
      <c r="E103" s="19" t="n"/>
      <c r="F103" s="19" t="n"/>
      <c r="G103" s="21" t="n"/>
      <c r="H103" s="1" t="n"/>
      <c r="I103" s="1" t="n"/>
      <c r="J103" s="1" t="n"/>
      <c r="K103" s="1" t="n"/>
      <c r="L103" s="1" t="n"/>
    </row>
    <row r="104">
      <c r="A104" s="18" t="n"/>
      <c r="B104" s="19" t="n"/>
      <c r="C104" s="19" t="n"/>
      <c r="D104" s="20" t="n"/>
      <c r="E104" s="19" t="n"/>
      <c r="F104" s="19" t="n"/>
      <c r="G104" s="21" t="n"/>
      <c r="H104" s="1" t="n"/>
      <c r="I104" s="1" t="n"/>
      <c r="J104" s="1" t="n"/>
      <c r="K104" s="1" t="n"/>
      <c r="L104" s="1" t="n"/>
    </row>
    <row r="105">
      <c r="A105" s="18" t="n"/>
      <c r="B105" s="19" t="n"/>
      <c r="C105" s="19" t="n"/>
      <c r="D105" s="20" t="n"/>
      <c r="E105" s="19" t="n"/>
      <c r="F105" s="19" t="n"/>
      <c r="G105" s="21" t="n"/>
      <c r="H105" s="1" t="n"/>
      <c r="I105" s="1" t="n"/>
      <c r="J105" s="1" t="n"/>
      <c r="K105" s="1" t="n"/>
      <c r="L105" s="1" t="n"/>
    </row>
    <row r="106">
      <c r="A106" s="18" t="n"/>
      <c r="B106" s="19" t="n"/>
      <c r="C106" s="19" t="n"/>
      <c r="D106" s="20" t="n"/>
      <c r="E106" s="19" t="n"/>
      <c r="F106" s="19" t="n"/>
      <c r="G106" s="21" t="n"/>
      <c r="H106" s="1" t="n"/>
      <c r="I106" s="1" t="n"/>
      <c r="J106" s="1" t="n"/>
      <c r="K106" s="1" t="n"/>
      <c r="L106" s="1" t="n"/>
    </row>
    <row r="107">
      <c r="A107" s="18" t="n"/>
      <c r="B107" s="19" t="n"/>
      <c r="C107" s="19" t="n"/>
      <c r="D107" s="20" t="n"/>
      <c r="E107" s="19" t="n"/>
      <c r="F107" s="19" t="n"/>
      <c r="G107" s="21" t="n"/>
      <c r="H107" s="1" t="n"/>
      <c r="I107" s="1" t="n"/>
      <c r="J107" s="1" t="n"/>
      <c r="K107" s="1" t="n"/>
      <c r="L107" s="1" t="n"/>
    </row>
    <row r="108">
      <c r="A108" s="18" t="n"/>
      <c r="B108" s="19" t="n"/>
      <c r="C108" s="19" t="n"/>
      <c r="D108" s="20" t="n"/>
      <c r="E108" s="19" t="n"/>
      <c r="F108" s="19" t="n"/>
      <c r="G108" s="21" t="n"/>
      <c r="H108" s="1" t="n"/>
      <c r="I108" s="1" t="n"/>
      <c r="J108" s="1" t="n"/>
      <c r="K108" s="1" t="n"/>
      <c r="L108" s="1" t="n"/>
    </row>
    <row r="109">
      <c r="A109" s="18" t="n"/>
      <c r="B109" s="19" t="n"/>
      <c r="C109" s="19" t="n"/>
      <c r="D109" s="20" t="n"/>
      <c r="E109" s="19" t="n"/>
      <c r="F109" s="19" t="n"/>
      <c r="G109" s="21" t="n"/>
      <c r="H109" s="1" t="n"/>
      <c r="I109" s="1" t="n"/>
      <c r="J109" s="1" t="n"/>
      <c r="K109" s="1" t="n"/>
      <c r="L109" s="1" t="n"/>
    </row>
    <row r="110">
      <c r="A110" s="18" t="n"/>
      <c r="B110" s="19" t="n"/>
      <c r="C110" s="19" t="n"/>
      <c r="D110" s="20" t="n"/>
      <c r="E110" s="19" t="n"/>
      <c r="F110" s="19" t="n"/>
      <c r="G110" s="21" t="n"/>
      <c r="H110" s="1" t="n"/>
      <c r="I110" s="1" t="n"/>
      <c r="J110" s="1" t="n"/>
      <c r="K110" s="1" t="n"/>
      <c r="L110" s="1" t="n"/>
    </row>
    <row r="111">
      <c r="A111" s="18" t="n"/>
      <c r="B111" s="19" t="n"/>
      <c r="C111" s="19" t="n"/>
      <c r="D111" s="20" t="n"/>
      <c r="E111" s="19" t="n"/>
      <c r="F111" s="19" t="n"/>
      <c r="G111" s="21" t="n"/>
      <c r="H111" s="1" t="n"/>
      <c r="I111" s="1" t="n"/>
      <c r="J111" s="1" t="n"/>
      <c r="K111" s="1" t="n"/>
      <c r="L111" s="1" t="n"/>
    </row>
    <row r="112">
      <c r="A112" s="18" t="n"/>
      <c r="B112" s="19" t="n"/>
      <c r="C112" s="19" t="n"/>
      <c r="D112" s="20" t="n"/>
      <c r="E112" s="19" t="n"/>
      <c r="F112" s="19" t="n"/>
      <c r="G112" s="21" t="n"/>
      <c r="H112" s="1" t="n"/>
      <c r="I112" s="1" t="n"/>
      <c r="J112" s="1" t="n"/>
      <c r="K112" s="1" t="n"/>
      <c r="L112" s="1" t="n"/>
    </row>
    <row r="113">
      <c r="A113" s="18" t="n"/>
      <c r="B113" s="19" t="n"/>
      <c r="C113" s="19" t="n"/>
      <c r="D113" s="20" t="n"/>
      <c r="E113" s="19" t="n"/>
      <c r="F113" s="19" t="n"/>
      <c r="G113" s="21" t="n"/>
      <c r="H113" s="1" t="n"/>
      <c r="I113" s="1" t="n"/>
      <c r="J113" s="1" t="n"/>
      <c r="K113" s="1" t="n"/>
      <c r="L113" s="1" t="n"/>
    </row>
    <row r="114">
      <c r="A114" s="18" t="n"/>
      <c r="B114" s="19" t="n"/>
      <c r="C114" s="19" t="n"/>
      <c r="D114" s="20" t="n"/>
      <c r="E114" s="19" t="n"/>
      <c r="F114" s="19" t="n"/>
      <c r="G114" s="21" t="n"/>
      <c r="H114" s="1" t="n"/>
      <c r="I114" s="1" t="n"/>
      <c r="J114" s="1" t="n"/>
      <c r="K114" s="1" t="n"/>
      <c r="L114" s="1" t="n"/>
    </row>
    <row r="115">
      <c r="A115" s="18" t="n"/>
      <c r="B115" s="19" t="n"/>
      <c r="C115" s="19" t="n"/>
      <c r="D115" s="20" t="n"/>
      <c r="E115" s="19" t="n"/>
      <c r="F115" s="19" t="n"/>
      <c r="G115" s="21" t="n"/>
      <c r="H115" s="1" t="n"/>
      <c r="I115" s="1" t="n"/>
      <c r="J115" s="1" t="n"/>
      <c r="K115" s="1" t="n"/>
      <c r="L115" s="1" t="n"/>
    </row>
    <row r="116">
      <c r="A116" s="18" t="n"/>
      <c r="B116" s="19" t="n"/>
      <c r="C116" s="19" t="n"/>
      <c r="D116" s="20" t="n"/>
      <c r="E116" s="19" t="n"/>
      <c r="F116" s="19" t="n"/>
      <c r="G116" s="21" t="n"/>
      <c r="H116" s="1" t="n"/>
      <c r="I116" s="1" t="n"/>
      <c r="J116" s="1" t="n"/>
      <c r="K116" s="1" t="n"/>
      <c r="L116" s="1" t="n"/>
    </row>
    <row r="117">
      <c r="A117" s="18" t="n"/>
      <c r="B117" s="19" t="n"/>
      <c r="C117" s="19" t="n"/>
      <c r="D117" s="20" t="n"/>
      <c r="E117" s="19" t="n"/>
      <c r="F117" s="19" t="n"/>
      <c r="G117" s="21" t="n"/>
      <c r="H117" s="1" t="n"/>
      <c r="I117" s="1" t="n"/>
      <c r="J117" s="1" t="n"/>
      <c r="K117" s="1" t="n"/>
      <c r="L117" s="1" t="n"/>
    </row>
    <row r="118">
      <c r="A118" s="18" t="n"/>
      <c r="B118" s="19" t="n"/>
      <c r="C118" s="19" t="n"/>
      <c r="D118" s="20" t="n"/>
      <c r="E118" s="19" t="n"/>
      <c r="F118" s="19" t="n"/>
      <c r="G118" s="21" t="n"/>
      <c r="H118" s="1" t="n"/>
      <c r="I118" s="1" t="n"/>
      <c r="J118" s="1" t="n"/>
      <c r="K118" s="1" t="n"/>
      <c r="L118" s="1" t="n"/>
    </row>
    <row r="119">
      <c r="A119" s="18" t="n"/>
      <c r="B119" s="19" t="n"/>
      <c r="C119" s="19" t="n"/>
      <c r="D119" s="20" t="n"/>
      <c r="E119" s="19" t="n"/>
      <c r="F119" s="19" t="n"/>
      <c r="G119" s="21" t="n"/>
      <c r="H119" s="1" t="n"/>
      <c r="I119" s="1" t="n"/>
      <c r="J119" s="1" t="n"/>
      <c r="K119" s="1" t="n"/>
      <c r="L119" s="1" t="n"/>
    </row>
    <row r="120">
      <c r="A120" s="18" t="n"/>
      <c r="B120" s="19" t="n"/>
      <c r="C120" s="19" t="n"/>
      <c r="D120" s="20" t="n"/>
      <c r="E120" s="19" t="n"/>
      <c r="F120" s="19" t="n"/>
      <c r="G120" s="21" t="n"/>
      <c r="H120" s="1" t="n"/>
      <c r="I120" s="1" t="n"/>
      <c r="J120" s="1" t="n"/>
      <c r="K120" s="1" t="n"/>
      <c r="L120" s="1" t="n"/>
    </row>
    <row r="121">
      <c r="A121" s="18" t="n"/>
      <c r="B121" s="19" t="n"/>
      <c r="C121" s="19" t="n"/>
      <c r="D121" s="20" t="n"/>
      <c r="E121" s="19" t="n"/>
      <c r="F121" s="19" t="n"/>
      <c r="G121" s="21" t="n"/>
      <c r="H121" s="1" t="n"/>
      <c r="I121" s="1" t="n"/>
      <c r="J121" s="1" t="n"/>
      <c r="K121" s="1" t="n"/>
      <c r="L121" s="1" t="n"/>
    </row>
    <row r="122">
      <c r="A122" s="18" t="n"/>
      <c r="B122" s="19" t="n"/>
      <c r="C122" s="19" t="n"/>
      <c r="D122" s="20" t="n"/>
      <c r="E122" s="19" t="n"/>
      <c r="F122" s="19" t="n"/>
      <c r="G122" s="21" t="n"/>
      <c r="H122" s="1" t="n"/>
      <c r="I122" s="1" t="n"/>
      <c r="J122" s="1" t="n"/>
      <c r="K122" s="1" t="n"/>
      <c r="L122" s="1" t="n"/>
    </row>
    <row r="123">
      <c r="A123" s="18" t="n"/>
      <c r="B123" s="19" t="n"/>
      <c r="C123" s="19" t="n"/>
      <c r="D123" s="20" t="n"/>
      <c r="E123" s="19" t="n"/>
      <c r="F123" s="19" t="n"/>
      <c r="G123" s="21" t="n"/>
      <c r="H123" s="1" t="n"/>
      <c r="I123" s="1" t="n"/>
      <c r="J123" s="1" t="n"/>
      <c r="K123" s="1" t="n"/>
      <c r="L123" s="1" t="n"/>
    </row>
    <row r="124">
      <c r="A124" s="18" t="n"/>
      <c r="B124" s="19" t="n"/>
      <c r="C124" s="19" t="n"/>
      <c r="D124" s="20" t="n"/>
      <c r="E124" s="19" t="n"/>
      <c r="F124" s="19" t="n"/>
      <c r="G124" s="21" t="n"/>
      <c r="H124" s="1" t="n"/>
      <c r="I124" s="1" t="n"/>
      <c r="J124" s="1" t="n"/>
      <c r="K124" s="1" t="n"/>
      <c r="L124" s="1" t="n"/>
    </row>
    <row r="125">
      <c r="A125" s="18" t="n"/>
      <c r="B125" s="19" t="n"/>
      <c r="C125" s="19" t="n"/>
      <c r="D125" s="20" t="n"/>
      <c r="E125" s="19" t="n"/>
      <c r="F125" s="19" t="n"/>
      <c r="G125" s="21" t="n"/>
      <c r="H125" s="1" t="n"/>
      <c r="I125" s="1" t="n"/>
      <c r="J125" s="1" t="n"/>
      <c r="K125" s="1" t="n"/>
      <c r="L125" s="1" t="n"/>
    </row>
    <row r="126">
      <c r="A126" s="18" t="n"/>
      <c r="B126" s="19" t="n"/>
      <c r="C126" s="19" t="n"/>
      <c r="D126" s="20" t="n"/>
      <c r="E126" s="19" t="n"/>
      <c r="F126" s="19" t="n"/>
      <c r="G126" s="21" t="n"/>
      <c r="H126" s="1" t="n"/>
      <c r="I126" s="1" t="n"/>
      <c r="J126" s="1" t="n"/>
      <c r="K126" s="1" t="n"/>
      <c r="L126" s="1" t="n"/>
    </row>
    <row r="127">
      <c r="A127" s="18" t="n"/>
      <c r="B127" s="19" t="n"/>
      <c r="C127" s="19" t="n"/>
      <c r="D127" s="20" t="n"/>
      <c r="E127" s="19" t="n"/>
      <c r="F127" s="19" t="n"/>
      <c r="G127" s="21" t="n"/>
      <c r="H127" s="1" t="n"/>
      <c r="I127" s="1" t="n"/>
      <c r="J127" s="1" t="n"/>
      <c r="K127" s="1" t="n"/>
      <c r="L127" s="1" t="n"/>
    </row>
    <row r="128">
      <c r="A128" s="18" t="n"/>
      <c r="B128" s="19" t="n"/>
      <c r="C128" s="19" t="n"/>
      <c r="D128" s="20" t="n"/>
      <c r="E128" s="19" t="n"/>
      <c r="F128" s="19" t="n"/>
      <c r="G128" s="21" t="n"/>
      <c r="H128" s="1" t="n"/>
      <c r="I128" s="1" t="n"/>
      <c r="J128" s="1" t="n"/>
      <c r="K128" s="1" t="n"/>
      <c r="L128" s="1" t="n"/>
    </row>
    <row r="129">
      <c r="A129" s="18" t="n"/>
      <c r="B129" s="19" t="n"/>
      <c r="C129" s="19" t="n"/>
      <c r="D129" s="20" t="n"/>
      <c r="E129" s="19" t="n"/>
      <c r="F129" s="19" t="n"/>
      <c r="G129" s="21" t="n"/>
      <c r="H129" s="1" t="n"/>
      <c r="I129" s="1" t="n"/>
      <c r="J129" s="1" t="n"/>
      <c r="K129" s="1" t="n"/>
      <c r="L129" s="1" t="n"/>
    </row>
    <row r="130">
      <c r="A130" s="18" t="n"/>
      <c r="B130" s="19" t="n"/>
      <c r="C130" s="19" t="n"/>
      <c r="D130" s="20" t="n"/>
      <c r="E130" s="19" t="n"/>
      <c r="F130" s="19" t="n"/>
      <c r="G130" s="21" t="n"/>
      <c r="H130" s="1" t="n"/>
      <c r="I130" s="1" t="n"/>
      <c r="J130" s="1" t="n"/>
      <c r="K130" s="1" t="n"/>
      <c r="L130" s="1" t="n"/>
    </row>
    <row r="131">
      <c r="A131" s="18" t="n"/>
      <c r="B131" s="19" t="n"/>
      <c r="C131" s="19" t="n"/>
      <c r="D131" s="20" t="n"/>
      <c r="E131" s="19" t="n"/>
      <c r="F131" s="19" t="n"/>
      <c r="G131" s="21" t="n"/>
      <c r="H131" s="1" t="n"/>
      <c r="I131" s="1" t="n"/>
      <c r="J131" s="1" t="n"/>
      <c r="K131" s="1" t="n"/>
      <c r="L131" s="1" t="n"/>
    </row>
    <row r="132">
      <c r="A132" s="18" t="n"/>
      <c r="B132" s="19" t="n"/>
      <c r="C132" s="19" t="n"/>
      <c r="D132" s="20" t="n"/>
      <c r="E132" s="19" t="n"/>
      <c r="F132" s="19" t="n"/>
      <c r="G132" s="21" t="n"/>
      <c r="H132" s="1" t="n"/>
      <c r="I132" s="1" t="n"/>
      <c r="J132" s="1" t="n"/>
      <c r="K132" s="1" t="n"/>
      <c r="L132" s="1" t="n"/>
    </row>
    <row r="133">
      <c r="A133" s="18" t="n"/>
      <c r="B133" s="19" t="n"/>
      <c r="C133" s="19" t="n"/>
      <c r="D133" s="20" t="n"/>
      <c r="E133" s="19" t="n"/>
      <c r="F133" s="19" t="n"/>
      <c r="G133" s="21" t="n"/>
      <c r="H133" s="1" t="n"/>
      <c r="I133" s="1" t="n"/>
      <c r="J133" s="1" t="n"/>
      <c r="K133" s="1" t="n"/>
      <c r="L133" s="1" t="n"/>
    </row>
    <row r="134">
      <c r="A134" s="18" t="n"/>
      <c r="B134" s="19" t="n"/>
      <c r="C134" s="19" t="n"/>
      <c r="D134" s="20" t="n"/>
      <c r="E134" s="19" t="n"/>
      <c r="F134" s="19" t="n"/>
      <c r="G134" s="21" t="n"/>
      <c r="H134" s="1" t="n"/>
      <c r="I134" s="1" t="n"/>
      <c r="J134" s="1" t="n"/>
      <c r="K134" s="1" t="n"/>
      <c r="L134" s="1" t="n"/>
    </row>
    <row r="135">
      <c r="A135" s="18" t="n"/>
      <c r="B135" s="19" t="n"/>
      <c r="C135" s="19" t="n"/>
      <c r="D135" s="20" t="n"/>
      <c r="E135" s="19" t="n"/>
      <c r="F135" s="19" t="n"/>
      <c r="G135" s="21" t="n"/>
      <c r="H135" s="1" t="n"/>
      <c r="I135" s="1" t="n"/>
      <c r="J135" s="1" t="n"/>
      <c r="K135" s="1" t="n"/>
      <c r="L135" s="1" t="n"/>
    </row>
    <row r="136">
      <c r="A136" s="18" t="n"/>
      <c r="B136" s="19" t="n"/>
      <c r="C136" s="19" t="n"/>
      <c r="D136" s="20" t="n"/>
      <c r="E136" s="19" t="n"/>
      <c r="F136" s="19" t="n"/>
      <c r="G136" s="21" t="n"/>
      <c r="H136" s="1" t="n"/>
      <c r="I136" s="1" t="n"/>
      <c r="J136" s="1" t="n"/>
      <c r="K136" s="1" t="n"/>
      <c r="L136" s="1" t="n"/>
    </row>
    <row r="137">
      <c r="A137" s="18" t="n"/>
      <c r="B137" s="19" t="n"/>
      <c r="C137" s="19" t="n"/>
      <c r="D137" s="20" t="n"/>
      <c r="E137" s="19" t="n"/>
      <c r="F137" s="19" t="n"/>
      <c r="G137" s="21" t="n"/>
      <c r="H137" s="1" t="n"/>
      <c r="I137" s="1" t="n"/>
      <c r="J137" s="1" t="n"/>
      <c r="K137" s="1" t="n"/>
      <c r="L137" s="1" t="n"/>
    </row>
    <row r="138">
      <c r="A138" s="18" t="n"/>
      <c r="B138" s="19" t="n"/>
      <c r="C138" s="19" t="n"/>
      <c r="D138" s="20" t="n"/>
      <c r="E138" s="19" t="n"/>
      <c r="F138" s="19" t="n"/>
      <c r="G138" s="21" t="n"/>
      <c r="H138" s="1" t="n"/>
      <c r="I138" s="1" t="n"/>
      <c r="J138" s="1" t="n"/>
      <c r="K138" s="1" t="n"/>
      <c r="L138" s="1" t="n"/>
    </row>
    <row r="139">
      <c r="A139" s="18" t="n"/>
      <c r="B139" s="19" t="n"/>
      <c r="C139" s="19" t="n"/>
      <c r="D139" s="20" t="n"/>
      <c r="E139" s="19" t="n"/>
      <c r="F139" s="19" t="n"/>
      <c r="G139" s="21" t="n"/>
      <c r="H139" s="1" t="n"/>
      <c r="I139" s="1" t="n"/>
      <c r="J139" s="1" t="n"/>
      <c r="K139" s="1" t="n"/>
      <c r="L139" s="1" t="n"/>
    </row>
    <row r="140">
      <c r="A140" s="18" t="n"/>
      <c r="B140" s="19" t="n"/>
      <c r="C140" s="19" t="n"/>
      <c r="D140" s="20" t="n"/>
      <c r="E140" s="19" t="n"/>
      <c r="F140" s="19" t="n"/>
      <c r="G140" s="21" t="n"/>
      <c r="H140" s="1" t="n"/>
      <c r="I140" s="1" t="n"/>
      <c r="J140" s="1" t="n"/>
      <c r="K140" s="1" t="n"/>
      <c r="L140" s="1" t="n"/>
    </row>
    <row r="141">
      <c r="A141" s="18" t="n"/>
      <c r="B141" s="19" t="n"/>
      <c r="C141" s="19" t="n"/>
      <c r="D141" s="20" t="n"/>
      <c r="E141" s="19" t="n"/>
      <c r="F141" s="19" t="n"/>
      <c r="G141" s="21" t="n"/>
      <c r="H141" s="1" t="n"/>
      <c r="I141" s="1" t="n"/>
      <c r="J141" s="1" t="n"/>
      <c r="K141" s="1" t="n"/>
      <c r="L141" s="1" t="n"/>
    </row>
    <row r="142">
      <c r="A142" s="18" t="n"/>
      <c r="B142" s="19" t="n"/>
      <c r="C142" s="19" t="n"/>
      <c r="D142" s="20" t="n"/>
      <c r="E142" s="19" t="n"/>
      <c r="F142" s="19" t="n"/>
      <c r="G142" s="21" t="n"/>
      <c r="H142" s="1" t="n"/>
      <c r="I142" s="1" t="n"/>
      <c r="J142" s="1" t="n"/>
      <c r="K142" s="1" t="n"/>
      <c r="L142" s="1" t="n"/>
    </row>
    <row r="143">
      <c r="A143" s="18" t="n"/>
      <c r="B143" s="19" t="n"/>
      <c r="C143" s="19" t="n"/>
      <c r="D143" s="20" t="n"/>
      <c r="E143" s="19" t="n"/>
      <c r="F143" s="19" t="n"/>
      <c r="G143" s="21" t="n"/>
      <c r="H143" s="1" t="n"/>
      <c r="I143" s="1" t="n"/>
      <c r="J143" s="1" t="n"/>
      <c r="K143" s="1" t="n"/>
      <c r="L143" s="1" t="n"/>
    </row>
    <row r="144">
      <c r="A144" s="18" t="n"/>
      <c r="B144" s="19" t="n"/>
      <c r="C144" s="19" t="n"/>
      <c r="D144" s="20" t="n"/>
      <c r="E144" s="19" t="n"/>
      <c r="F144" s="19" t="n"/>
      <c r="G144" s="21" t="n"/>
      <c r="H144" s="1" t="n"/>
      <c r="I144" s="1" t="n"/>
      <c r="J144" s="1" t="n"/>
      <c r="K144" s="1" t="n"/>
      <c r="L144" s="1" t="n"/>
    </row>
    <row r="145">
      <c r="A145" s="18" t="n"/>
      <c r="B145" s="19" t="n"/>
      <c r="C145" s="19" t="n"/>
      <c r="D145" s="20" t="n"/>
      <c r="E145" s="19" t="n"/>
      <c r="F145" s="19" t="n"/>
      <c r="G145" s="21" t="n"/>
      <c r="H145" s="1" t="n"/>
      <c r="I145" s="1" t="n"/>
      <c r="J145" s="1" t="n"/>
      <c r="K145" s="1" t="n"/>
      <c r="L145" s="1" t="n"/>
    </row>
    <row r="146">
      <c r="A146" s="18" t="n"/>
      <c r="B146" s="19" t="n"/>
      <c r="C146" s="19" t="n"/>
      <c r="D146" s="20" t="n"/>
      <c r="E146" s="19" t="n"/>
      <c r="F146" s="19" t="n"/>
      <c r="G146" s="21" t="n"/>
      <c r="H146" s="1" t="n"/>
      <c r="I146" s="1" t="n"/>
      <c r="J146" s="1" t="n"/>
      <c r="K146" s="1" t="n"/>
      <c r="L146" s="1" t="n"/>
    </row>
    <row r="147">
      <c r="A147" s="18" t="n"/>
      <c r="B147" s="19" t="n"/>
      <c r="C147" s="19" t="n"/>
      <c r="D147" s="20" t="n"/>
      <c r="E147" s="19" t="n"/>
      <c r="F147" s="19" t="n"/>
      <c r="G147" s="21" t="n"/>
      <c r="H147" s="1" t="n"/>
      <c r="I147" s="1" t="n"/>
      <c r="J147" s="1" t="n"/>
      <c r="K147" s="1" t="n"/>
      <c r="L147" s="1" t="n"/>
    </row>
    <row r="148">
      <c r="A148" s="18" t="n"/>
      <c r="B148" s="19" t="n"/>
      <c r="C148" s="19" t="n"/>
      <c r="D148" s="20" t="n"/>
      <c r="E148" s="19" t="n"/>
      <c r="F148" s="19" t="n"/>
      <c r="G148" s="21" t="n"/>
      <c r="H148" s="1" t="n"/>
      <c r="I148" s="1" t="n"/>
      <c r="J148" s="1" t="n"/>
      <c r="K148" s="1" t="n"/>
      <c r="L148" s="1" t="n"/>
    </row>
    <row r="149">
      <c r="A149" s="18" t="n"/>
      <c r="B149" s="19" t="n"/>
      <c r="C149" s="19" t="n"/>
      <c r="D149" s="20" t="n"/>
      <c r="E149" s="19" t="n"/>
      <c r="F149" s="19" t="n"/>
      <c r="G149" s="21" t="n"/>
      <c r="H149" s="1" t="n"/>
      <c r="I149" s="1" t="n"/>
      <c r="J149" s="1" t="n"/>
      <c r="K149" s="1" t="n"/>
      <c r="L149" s="1" t="n"/>
    </row>
    <row r="150">
      <c r="A150" s="18" t="n"/>
      <c r="B150" s="19" t="n"/>
      <c r="C150" s="19" t="n"/>
      <c r="D150" s="20" t="n"/>
      <c r="E150" s="19" t="n"/>
      <c r="F150" s="19" t="n"/>
      <c r="G150" s="21" t="n"/>
      <c r="H150" s="1" t="n"/>
      <c r="I150" s="1" t="n"/>
      <c r="J150" s="1" t="n"/>
      <c r="K150" s="1" t="n"/>
      <c r="L150" s="1" t="n"/>
    </row>
    <row r="151">
      <c r="A151" s="18" t="n"/>
      <c r="B151" s="19" t="n"/>
      <c r="C151" s="19" t="n"/>
      <c r="D151" s="20" t="n"/>
      <c r="E151" s="19" t="n"/>
      <c r="F151" s="19" t="n"/>
      <c r="G151" s="21" t="n"/>
      <c r="H151" s="1" t="n"/>
      <c r="I151" s="1" t="n"/>
      <c r="J151" s="1" t="n"/>
      <c r="K151" s="1" t="n"/>
      <c r="L151" s="1" t="n"/>
    </row>
    <row r="152">
      <c r="A152" s="18" t="n"/>
      <c r="B152" s="19" t="n"/>
      <c r="C152" s="19" t="n"/>
      <c r="D152" s="20" t="n"/>
      <c r="E152" s="19" t="n"/>
      <c r="F152" s="19" t="n"/>
      <c r="G152" s="21" t="n"/>
      <c r="H152" s="1" t="n"/>
      <c r="I152" s="1" t="n"/>
      <c r="J152" s="1" t="n"/>
      <c r="K152" s="1" t="n"/>
      <c r="L152" s="1" t="n"/>
    </row>
    <row r="153">
      <c r="A153" s="18" t="n"/>
      <c r="B153" s="19" t="n"/>
      <c r="C153" s="19" t="n"/>
      <c r="D153" s="20" t="n"/>
      <c r="E153" s="19" t="n"/>
      <c r="F153" s="19" t="n"/>
      <c r="G153" s="21" t="n"/>
      <c r="H153" s="1" t="n"/>
      <c r="I153" s="1" t="n"/>
      <c r="J153" s="1" t="n"/>
      <c r="K153" s="1" t="n"/>
      <c r="L153" s="1" t="n"/>
    </row>
    <row r="154">
      <c r="A154" s="18" t="n"/>
      <c r="B154" s="19" t="n"/>
      <c r="C154" s="19" t="n"/>
      <c r="D154" s="20" t="n"/>
      <c r="E154" s="19" t="n"/>
      <c r="F154" s="19" t="n"/>
      <c r="G154" s="21" t="n"/>
      <c r="H154" s="1" t="n"/>
      <c r="I154" s="1" t="n"/>
      <c r="J154" s="1" t="n"/>
      <c r="K154" s="1" t="n"/>
      <c r="L154" s="1" t="n"/>
    </row>
    <row r="155">
      <c r="A155" s="18" t="n"/>
      <c r="B155" s="19" t="n"/>
      <c r="C155" s="19" t="n"/>
      <c r="D155" s="20" t="n"/>
      <c r="E155" s="19" t="n"/>
      <c r="F155" s="19" t="n"/>
      <c r="G155" s="21" t="n"/>
      <c r="H155" s="1" t="n"/>
      <c r="I155" s="1" t="n"/>
      <c r="J155" s="1" t="n"/>
      <c r="K155" s="1" t="n"/>
      <c r="L155" s="1" t="n"/>
    </row>
    <row r="156">
      <c r="A156" s="18" t="n"/>
      <c r="B156" s="19" t="n"/>
      <c r="C156" s="19" t="n"/>
      <c r="D156" s="20" t="n"/>
      <c r="E156" s="19" t="n"/>
      <c r="F156" s="19" t="n"/>
      <c r="G156" s="21" t="n"/>
      <c r="H156" s="1" t="n"/>
      <c r="I156" s="1" t="n"/>
      <c r="J156" s="1" t="n"/>
      <c r="K156" s="1" t="n"/>
      <c r="L156" s="1" t="n"/>
    </row>
    <row r="157">
      <c r="A157" s="18" t="n"/>
      <c r="B157" s="19" t="n"/>
      <c r="C157" s="19" t="n"/>
      <c r="D157" s="20" t="n"/>
      <c r="E157" s="19" t="n"/>
      <c r="F157" s="19" t="n"/>
      <c r="G157" s="21" t="n"/>
      <c r="H157" s="1" t="n"/>
      <c r="I157" s="1" t="n"/>
      <c r="J157" s="1" t="n"/>
      <c r="K157" s="1" t="n"/>
      <c r="L157" s="1" t="n"/>
    </row>
    <row r="158">
      <c r="A158" s="18" t="n"/>
      <c r="B158" s="19" t="n"/>
      <c r="C158" s="19" t="n"/>
      <c r="D158" s="20" t="n"/>
      <c r="E158" s="19" t="n"/>
      <c r="F158" s="19" t="n"/>
      <c r="G158" s="21" t="n"/>
      <c r="H158" s="1" t="n"/>
      <c r="I158" s="1" t="n"/>
      <c r="J158" s="1" t="n"/>
      <c r="K158" s="1" t="n"/>
      <c r="L158" s="1" t="n"/>
    </row>
    <row r="159">
      <c r="A159" s="18" t="n"/>
      <c r="B159" s="19" t="n"/>
      <c r="C159" s="19" t="n"/>
      <c r="D159" s="20" t="n"/>
      <c r="E159" s="19" t="n"/>
      <c r="F159" s="19" t="n"/>
      <c r="G159" s="21" t="n"/>
      <c r="H159" s="1" t="n"/>
      <c r="I159" s="1" t="n"/>
      <c r="J159" s="1" t="n"/>
      <c r="K159" s="1" t="n"/>
      <c r="L159" s="1" t="n"/>
    </row>
    <row r="160">
      <c r="A160" s="18" t="n"/>
      <c r="B160" s="19" t="n"/>
      <c r="C160" s="19" t="n"/>
      <c r="D160" s="20" t="n"/>
      <c r="E160" s="19" t="n"/>
      <c r="F160" s="19" t="n"/>
      <c r="G160" s="21" t="n"/>
      <c r="H160" s="1" t="n"/>
      <c r="I160" s="1" t="n"/>
      <c r="J160" s="1" t="n"/>
      <c r="K160" s="1" t="n"/>
      <c r="L160" s="1" t="n"/>
    </row>
    <row r="161">
      <c r="A161" s="18" t="n"/>
      <c r="B161" s="19" t="n"/>
      <c r="C161" s="19" t="n"/>
      <c r="D161" s="20" t="n"/>
      <c r="E161" s="19" t="n"/>
      <c r="F161" s="19" t="n"/>
      <c r="G161" s="21" t="n"/>
      <c r="H161" s="1" t="n"/>
      <c r="I161" s="1" t="n"/>
      <c r="J161" s="1" t="n"/>
      <c r="K161" s="1" t="n"/>
      <c r="L161" s="1" t="n"/>
    </row>
    <row r="162">
      <c r="A162" s="18" t="n"/>
      <c r="B162" s="19" t="n"/>
      <c r="C162" s="19" t="n"/>
      <c r="D162" s="20" t="n"/>
      <c r="E162" s="19" t="n"/>
      <c r="F162" s="19" t="n"/>
      <c r="G162" s="21" t="n"/>
      <c r="H162" s="1" t="n"/>
      <c r="I162" s="1" t="n"/>
      <c r="J162" s="1" t="n"/>
      <c r="K162" s="1" t="n"/>
      <c r="L162" s="1" t="n"/>
    </row>
    <row r="163">
      <c r="A163" s="18" t="n"/>
      <c r="B163" s="19" t="n"/>
      <c r="C163" s="19" t="n"/>
      <c r="D163" s="20" t="n"/>
      <c r="E163" s="19" t="n"/>
      <c r="F163" s="19" t="n"/>
      <c r="G163" s="21" t="n"/>
      <c r="H163" s="1" t="n"/>
      <c r="I163" s="1" t="n"/>
      <c r="J163" s="1" t="n"/>
      <c r="K163" s="1" t="n"/>
      <c r="L163" s="1" t="n"/>
    </row>
    <row r="164">
      <c r="A164" s="18" t="n"/>
      <c r="B164" s="19" t="n"/>
      <c r="C164" s="19" t="n"/>
      <c r="D164" s="20" t="n"/>
      <c r="E164" s="19" t="n"/>
      <c r="F164" s="19" t="n"/>
      <c r="G164" s="21" t="n"/>
      <c r="H164" s="1" t="n"/>
      <c r="I164" s="1" t="n"/>
      <c r="J164" s="1" t="n"/>
      <c r="K164" s="1" t="n"/>
      <c r="L164" s="1" t="n"/>
    </row>
    <row r="165">
      <c r="A165" s="18" t="n"/>
      <c r="B165" s="19" t="n"/>
      <c r="C165" s="19" t="n"/>
      <c r="D165" s="20" t="n"/>
      <c r="E165" s="19" t="n"/>
      <c r="F165" s="19" t="n"/>
      <c r="G165" s="21" t="n"/>
      <c r="H165" s="1" t="n"/>
      <c r="I165" s="1" t="n"/>
      <c r="J165" s="1" t="n"/>
      <c r="K165" s="1" t="n"/>
      <c r="L165" s="1" t="n"/>
    </row>
    <row r="166">
      <c r="A166" s="18" t="n"/>
      <c r="B166" s="19" t="n"/>
      <c r="C166" s="19" t="n"/>
      <c r="D166" s="20" t="n"/>
      <c r="E166" s="19" t="n"/>
      <c r="F166" s="19" t="n"/>
      <c r="G166" s="21" t="n"/>
      <c r="H166" s="1" t="n"/>
      <c r="I166" s="1" t="n"/>
      <c r="J166" s="1" t="n"/>
      <c r="K166" s="1" t="n"/>
      <c r="L166" s="1" t="n"/>
    </row>
    <row r="167">
      <c r="A167" s="18" t="n"/>
      <c r="B167" s="19" t="n"/>
      <c r="C167" s="19" t="n"/>
      <c r="D167" s="20" t="n"/>
      <c r="E167" s="19" t="n"/>
      <c r="F167" s="19" t="n"/>
      <c r="G167" s="21" t="n"/>
      <c r="H167" s="1" t="n"/>
      <c r="I167" s="1" t="n"/>
      <c r="J167" s="1" t="n"/>
      <c r="K167" s="1" t="n"/>
      <c r="L167" s="1" t="n"/>
    </row>
    <row r="168">
      <c r="A168" s="18" t="n"/>
      <c r="B168" s="19" t="n"/>
      <c r="C168" s="19" t="n"/>
      <c r="D168" s="20" t="n"/>
      <c r="E168" s="19" t="n"/>
      <c r="F168" s="19" t="n"/>
      <c r="G168" s="21" t="n"/>
      <c r="H168" s="1" t="n"/>
      <c r="I168" s="1" t="n"/>
      <c r="J168" s="1" t="n"/>
      <c r="K168" s="1" t="n"/>
      <c r="L168" s="1" t="n"/>
    </row>
    <row r="169">
      <c r="A169" s="18" t="n"/>
      <c r="B169" s="19" t="n"/>
      <c r="C169" s="19" t="n"/>
      <c r="D169" s="20" t="n"/>
      <c r="E169" s="19" t="n"/>
      <c r="F169" s="19" t="n"/>
      <c r="G169" s="21" t="n"/>
      <c r="H169" s="1" t="n"/>
      <c r="I169" s="1" t="n"/>
      <c r="J169" s="1" t="n"/>
      <c r="K169" s="1" t="n"/>
      <c r="L169" s="1" t="n"/>
    </row>
    <row r="170">
      <c r="A170" s="18" t="n"/>
      <c r="B170" s="19" t="n"/>
      <c r="C170" s="19" t="n"/>
      <c r="D170" s="20" t="n"/>
      <c r="E170" s="19" t="n"/>
      <c r="F170" s="19" t="n"/>
      <c r="G170" s="21" t="n"/>
      <c r="H170" s="1" t="n"/>
      <c r="I170" s="1" t="n"/>
      <c r="J170" s="1" t="n"/>
      <c r="K170" s="1" t="n"/>
      <c r="L170" s="1" t="n"/>
    </row>
    <row r="171">
      <c r="A171" s="18" t="n"/>
      <c r="B171" s="19" t="n"/>
      <c r="C171" s="19" t="n"/>
      <c r="D171" s="20" t="n"/>
      <c r="E171" s="19" t="n"/>
      <c r="F171" s="19" t="n"/>
      <c r="G171" s="21" t="n"/>
      <c r="H171" s="1" t="n"/>
      <c r="I171" s="1" t="n"/>
      <c r="J171" s="1" t="n"/>
      <c r="K171" s="1" t="n"/>
      <c r="L171" s="1" t="n"/>
    </row>
    <row r="172">
      <c r="A172" s="18" t="n"/>
      <c r="B172" s="19" t="n"/>
      <c r="C172" s="19" t="n"/>
      <c r="D172" s="20" t="n"/>
      <c r="E172" s="19" t="n"/>
      <c r="F172" s="19" t="n"/>
      <c r="G172" s="21" t="n"/>
      <c r="H172" s="1" t="n"/>
      <c r="I172" s="1" t="n"/>
      <c r="J172" s="1" t="n"/>
      <c r="K172" s="1" t="n"/>
      <c r="L172" s="1" t="n"/>
    </row>
    <row r="173">
      <c r="A173" s="18" t="n"/>
      <c r="B173" s="19" t="n"/>
      <c r="C173" s="19" t="n"/>
      <c r="D173" s="20" t="n"/>
      <c r="E173" s="19" t="n"/>
      <c r="F173" s="19" t="n"/>
      <c r="G173" s="21" t="n"/>
      <c r="H173" s="1" t="n"/>
      <c r="I173" s="1" t="n"/>
      <c r="J173" s="1" t="n"/>
      <c r="K173" s="1" t="n"/>
      <c r="L173" s="1" t="n"/>
    </row>
    <row r="174">
      <c r="A174" s="18" t="n"/>
      <c r="B174" s="19" t="n"/>
      <c r="C174" s="19" t="n"/>
      <c r="D174" s="20" t="n"/>
      <c r="E174" s="19" t="n"/>
      <c r="F174" s="19" t="n"/>
      <c r="G174" s="21" t="n"/>
      <c r="H174" s="1" t="n"/>
      <c r="I174" s="1" t="n"/>
      <c r="J174" s="1" t="n"/>
      <c r="K174" s="1" t="n"/>
      <c r="L174" s="1" t="n"/>
    </row>
    <row r="175">
      <c r="A175" s="18" t="n"/>
      <c r="B175" s="19" t="n"/>
      <c r="C175" s="19" t="n"/>
      <c r="D175" s="20" t="n"/>
      <c r="E175" s="19" t="n"/>
      <c r="F175" s="19" t="n"/>
      <c r="G175" s="21" t="n"/>
      <c r="H175" s="1" t="n"/>
      <c r="I175" s="1" t="n"/>
      <c r="J175" s="1" t="n"/>
      <c r="K175" s="1" t="n"/>
      <c r="L175" s="1" t="n"/>
    </row>
    <row r="176">
      <c r="A176" s="18" t="n"/>
      <c r="B176" s="19" t="n"/>
      <c r="C176" s="19" t="n"/>
      <c r="D176" s="20" t="n"/>
      <c r="E176" s="19" t="n"/>
      <c r="F176" s="19" t="n"/>
      <c r="G176" s="21" t="n"/>
      <c r="H176" s="1" t="n"/>
      <c r="I176" s="1" t="n"/>
      <c r="J176" s="1" t="n"/>
      <c r="K176" s="1" t="n"/>
      <c r="L176" s="1" t="n"/>
    </row>
    <row r="177">
      <c r="A177" s="18" t="n"/>
      <c r="B177" s="19" t="n"/>
      <c r="C177" s="19" t="n"/>
      <c r="D177" s="20" t="n"/>
      <c r="E177" s="19" t="n"/>
      <c r="F177" s="19" t="n"/>
      <c r="G177" s="21" t="n"/>
      <c r="H177" s="1" t="n"/>
      <c r="I177" s="1" t="n"/>
      <c r="J177" s="1" t="n"/>
      <c r="K177" s="1" t="n"/>
      <c r="L177" s="1" t="n"/>
    </row>
    <row r="178">
      <c r="A178" s="18" t="n"/>
      <c r="B178" s="19" t="n"/>
      <c r="C178" s="19" t="n"/>
      <c r="D178" s="20" t="n"/>
      <c r="E178" s="19" t="n"/>
      <c r="F178" s="19" t="n"/>
      <c r="G178" s="21" t="n"/>
      <c r="H178" s="1" t="n"/>
      <c r="I178" s="1" t="n"/>
      <c r="J178" s="1" t="n"/>
      <c r="K178" s="1" t="n"/>
      <c r="L178" s="1" t="n"/>
    </row>
    <row r="179">
      <c r="A179" s="18" t="n"/>
      <c r="B179" s="19" t="n"/>
      <c r="C179" s="19" t="n"/>
      <c r="D179" s="20" t="n"/>
      <c r="E179" s="19" t="n"/>
      <c r="F179" s="19" t="n"/>
      <c r="G179" s="21" t="n"/>
      <c r="H179" s="1" t="n"/>
      <c r="I179" s="1" t="n"/>
      <c r="J179" s="1" t="n"/>
      <c r="K179" s="1" t="n"/>
      <c r="L179" s="1" t="n"/>
    </row>
    <row r="180">
      <c r="A180" s="18" t="n"/>
      <c r="B180" s="19" t="n"/>
      <c r="C180" s="19" t="n"/>
      <c r="D180" s="20" t="n"/>
      <c r="E180" s="19" t="n"/>
      <c r="F180" s="19" t="n"/>
      <c r="G180" s="21" t="n"/>
      <c r="H180" s="1" t="n"/>
      <c r="I180" s="1" t="n"/>
      <c r="J180" s="1" t="n"/>
      <c r="K180" s="1" t="n"/>
      <c r="L180" s="1" t="n"/>
    </row>
    <row r="181">
      <c r="A181" s="18" t="n"/>
      <c r="B181" s="19" t="n"/>
      <c r="C181" s="19" t="n"/>
      <c r="D181" s="20" t="n"/>
      <c r="E181" s="19" t="n"/>
      <c r="F181" s="19" t="n"/>
      <c r="G181" s="21" t="n"/>
      <c r="H181" s="1" t="n"/>
      <c r="I181" s="1" t="n"/>
      <c r="J181" s="1" t="n"/>
      <c r="K181" s="1" t="n"/>
      <c r="L181" s="1" t="n"/>
    </row>
    <row r="182">
      <c r="A182" s="18" t="n"/>
      <c r="B182" s="19" t="n"/>
      <c r="C182" s="19" t="n"/>
      <c r="D182" s="20" t="n"/>
      <c r="E182" s="19" t="n"/>
      <c r="F182" s="19" t="n"/>
      <c r="G182" s="21" t="n"/>
      <c r="H182" s="1" t="n"/>
      <c r="I182" s="1" t="n"/>
      <c r="J182" s="1" t="n"/>
      <c r="K182" s="1" t="n"/>
      <c r="L182" s="1" t="n"/>
    </row>
    <row r="183">
      <c r="A183" s="18" t="n"/>
      <c r="B183" s="19" t="n"/>
      <c r="C183" s="19" t="n"/>
      <c r="D183" s="20" t="n"/>
      <c r="E183" s="19" t="n"/>
      <c r="F183" s="19" t="n"/>
      <c r="G183" s="21" t="n"/>
      <c r="H183" s="1" t="n"/>
      <c r="I183" s="1" t="n"/>
      <c r="J183" s="1" t="n"/>
      <c r="K183" s="1" t="n"/>
      <c r="L183" s="1" t="n"/>
    </row>
    <row r="184">
      <c r="A184" s="18" t="n"/>
      <c r="B184" s="19" t="n"/>
      <c r="C184" s="19" t="n"/>
      <c r="D184" s="20" t="n"/>
      <c r="E184" s="19" t="n"/>
      <c r="F184" s="19" t="n"/>
      <c r="G184" s="21" t="n"/>
      <c r="H184" s="1" t="n"/>
      <c r="I184" s="1" t="n"/>
      <c r="J184" s="1" t="n"/>
      <c r="K184" s="1" t="n"/>
      <c r="L184" s="1" t="n"/>
    </row>
    <row r="185">
      <c r="A185" s="18" t="n"/>
      <c r="B185" s="19" t="n"/>
      <c r="C185" s="19" t="n"/>
      <c r="D185" s="20" t="n"/>
      <c r="E185" s="19" t="n"/>
      <c r="F185" s="19" t="n"/>
      <c r="G185" s="21" t="n"/>
      <c r="H185" s="1" t="n"/>
      <c r="I185" s="1" t="n"/>
      <c r="J185" s="1" t="n"/>
      <c r="K185" s="1" t="n"/>
      <c r="L185" s="1" t="n"/>
    </row>
    <row r="186">
      <c r="A186" s="18" t="n"/>
      <c r="B186" s="19" t="n"/>
      <c r="C186" s="19" t="n"/>
      <c r="D186" s="20" t="n"/>
      <c r="E186" s="19" t="n"/>
      <c r="F186" s="19" t="n"/>
      <c r="G186" s="21" t="n"/>
      <c r="H186" s="1" t="n"/>
      <c r="I186" s="1" t="n"/>
      <c r="J186" s="1" t="n"/>
      <c r="K186" s="1" t="n"/>
      <c r="L186" s="1" t="n"/>
    </row>
    <row r="187">
      <c r="A187" s="18" t="n"/>
      <c r="B187" s="19" t="n"/>
      <c r="C187" s="19" t="n"/>
      <c r="D187" s="20" t="n"/>
      <c r="E187" s="19" t="n"/>
      <c r="F187" s="19" t="n"/>
      <c r="G187" s="21" t="n"/>
      <c r="H187" s="1" t="n"/>
      <c r="I187" s="1" t="n"/>
      <c r="J187" s="1" t="n"/>
      <c r="K187" s="1" t="n"/>
      <c r="L187" s="1" t="n"/>
    </row>
    <row r="188">
      <c r="A188" s="18" t="n"/>
      <c r="B188" s="19" t="n"/>
      <c r="C188" s="19" t="n"/>
      <c r="D188" s="20" t="n"/>
      <c r="E188" s="19" t="n"/>
      <c r="F188" s="19" t="n"/>
      <c r="G188" s="21" t="n"/>
      <c r="H188" s="1" t="n"/>
      <c r="I188" s="1" t="n"/>
      <c r="J188" s="1" t="n"/>
      <c r="K188" s="1" t="n"/>
      <c r="L188" s="1" t="n"/>
    </row>
    <row r="189">
      <c r="A189" s="18" t="n"/>
      <c r="B189" s="19" t="n"/>
      <c r="C189" s="19" t="n"/>
      <c r="D189" s="20" t="n"/>
      <c r="E189" s="19" t="n"/>
      <c r="F189" s="19" t="n"/>
      <c r="G189" s="21" t="n"/>
      <c r="H189" s="1" t="n"/>
      <c r="I189" s="1" t="n"/>
      <c r="J189" s="1" t="n"/>
      <c r="K189" s="1" t="n"/>
      <c r="L189" s="1" t="n"/>
    </row>
    <row r="190">
      <c r="A190" s="18" t="n"/>
      <c r="B190" s="19" t="n"/>
      <c r="C190" s="19" t="n"/>
      <c r="D190" s="20" t="n"/>
      <c r="E190" s="19" t="n"/>
      <c r="F190" s="19" t="n"/>
      <c r="G190" s="21" t="n"/>
      <c r="H190" s="1" t="n"/>
      <c r="I190" s="1" t="n"/>
      <c r="J190" s="1" t="n"/>
      <c r="K190" s="1" t="n"/>
      <c r="L190" s="1" t="n"/>
    </row>
    <row r="191">
      <c r="A191" s="18" t="n"/>
      <c r="B191" s="19" t="n"/>
      <c r="C191" s="19" t="n"/>
      <c r="D191" s="20" t="n"/>
      <c r="E191" s="19" t="n"/>
      <c r="F191" s="19" t="n"/>
      <c r="G191" s="21" t="n"/>
      <c r="H191" s="1" t="n"/>
      <c r="I191" s="1" t="n"/>
      <c r="J191" s="1" t="n"/>
      <c r="K191" s="1" t="n"/>
      <c r="L191" s="1" t="n"/>
    </row>
    <row r="192">
      <c r="A192" s="18" t="n"/>
      <c r="B192" s="19" t="n"/>
      <c r="C192" s="19" t="n"/>
      <c r="D192" s="20" t="n"/>
      <c r="E192" s="19" t="n"/>
      <c r="F192" s="19" t="n"/>
      <c r="G192" s="21" t="n"/>
      <c r="H192" s="1" t="n"/>
      <c r="I192" s="1" t="n"/>
      <c r="J192" s="1" t="n"/>
      <c r="K192" s="1" t="n"/>
      <c r="L192" s="1" t="n"/>
    </row>
    <row r="193">
      <c r="A193" s="18" t="n"/>
      <c r="B193" s="19" t="n"/>
      <c r="C193" s="19" t="n"/>
      <c r="D193" s="20" t="n"/>
      <c r="E193" s="19" t="n"/>
      <c r="F193" s="19" t="n"/>
      <c r="G193" s="21" t="n"/>
      <c r="H193" s="1" t="n"/>
      <c r="I193" s="1" t="n"/>
      <c r="J193" s="1" t="n"/>
      <c r="K193" s="1" t="n"/>
      <c r="L193" s="1" t="n"/>
    </row>
    <row r="194">
      <c r="A194" s="18" t="n"/>
      <c r="B194" s="19" t="n"/>
      <c r="C194" s="19" t="n"/>
      <c r="D194" s="20" t="n"/>
      <c r="E194" s="19" t="n"/>
      <c r="F194" s="19" t="n"/>
      <c r="G194" s="21" t="n"/>
      <c r="H194" s="1" t="n"/>
      <c r="I194" s="1" t="n"/>
      <c r="J194" s="1" t="n"/>
      <c r="K194" s="1" t="n"/>
      <c r="L194" s="1" t="n"/>
    </row>
    <row r="195">
      <c r="A195" s="18" t="n"/>
      <c r="B195" s="19" t="n"/>
      <c r="C195" s="19" t="n"/>
      <c r="D195" s="20" t="n"/>
      <c r="E195" s="19" t="n"/>
      <c r="F195" s="19" t="n"/>
      <c r="G195" s="21" t="n"/>
      <c r="H195" s="1" t="n"/>
      <c r="I195" s="1" t="n"/>
      <c r="J195" s="1" t="n"/>
      <c r="K195" s="1" t="n"/>
      <c r="L195" s="1" t="n"/>
    </row>
    <row r="196">
      <c r="A196" s="18" t="n"/>
      <c r="B196" s="19" t="n"/>
      <c r="C196" s="19" t="n"/>
      <c r="D196" s="20" t="n"/>
      <c r="E196" s="19" t="n"/>
      <c r="F196" s="19" t="n"/>
      <c r="G196" s="21" t="n"/>
      <c r="H196" s="1" t="n"/>
      <c r="I196" s="1" t="n"/>
      <c r="J196" s="1" t="n"/>
      <c r="K196" s="1" t="n"/>
      <c r="L196" s="1" t="n"/>
    </row>
    <row r="197">
      <c r="A197" s="18" t="n"/>
      <c r="B197" s="19" t="n"/>
      <c r="C197" s="19" t="n"/>
      <c r="D197" s="20" t="n"/>
      <c r="E197" s="19" t="n"/>
      <c r="F197" s="19" t="n"/>
      <c r="G197" s="21" t="n"/>
      <c r="H197" s="1" t="n"/>
      <c r="I197" s="1" t="n"/>
      <c r="J197" s="1" t="n"/>
      <c r="K197" s="1" t="n"/>
      <c r="L197" s="1" t="n"/>
    </row>
    <row r="198">
      <c r="A198" s="18" t="n"/>
      <c r="B198" s="19" t="n"/>
      <c r="C198" s="19" t="n"/>
      <c r="D198" s="20" t="n"/>
      <c r="E198" s="19" t="n"/>
      <c r="F198" s="19" t="n"/>
      <c r="G198" s="21" t="n"/>
      <c r="H198" s="1" t="n"/>
      <c r="I198" s="1" t="n"/>
      <c r="J198" s="1" t="n"/>
      <c r="K198" s="1" t="n"/>
      <c r="L198" s="1" t="n"/>
    </row>
    <row r="199">
      <c r="A199" s="18" t="n"/>
      <c r="B199" s="19" t="n"/>
      <c r="C199" s="19" t="n"/>
      <c r="D199" s="20" t="n"/>
      <c r="E199" s="19" t="n"/>
      <c r="F199" s="19" t="n"/>
      <c r="G199" s="21" t="n"/>
      <c r="H199" s="1" t="n"/>
      <c r="I199" s="1" t="n"/>
      <c r="J199" s="1" t="n"/>
      <c r="K199" s="1" t="n"/>
      <c r="L199" s="1" t="n"/>
    </row>
    <row r="200">
      <c r="A200" s="18" t="n"/>
      <c r="B200" s="19" t="n"/>
      <c r="C200" s="19" t="n"/>
      <c r="D200" s="20" t="n"/>
      <c r="E200" s="19" t="n"/>
      <c r="F200" s="19" t="n"/>
      <c r="G200" s="21" t="n"/>
      <c r="H200" s="1" t="n"/>
      <c r="I200" s="1" t="n"/>
      <c r="J200" s="1" t="n"/>
      <c r="K200" s="1" t="n"/>
      <c r="L200" s="1" t="n"/>
    </row>
    <row r="201">
      <c r="A201" s="18" t="n"/>
      <c r="B201" s="19" t="n"/>
      <c r="C201" s="19" t="n"/>
      <c r="D201" s="20" t="n"/>
      <c r="E201" s="19" t="n"/>
      <c r="F201" s="19" t="n"/>
      <c r="G201" s="21" t="n"/>
      <c r="H201" s="1" t="n"/>
      <c r="I201" s="1" t="n"/>
      <c r="J201" s="1" t="n"/>
      <c r="K201" s="1" t="n"/>
      <c r="L201" s="1" t="n"/>
    </row>
    <row r="202">
      <c r="A202" s="18" t="n"/>
      <c r="B202" s="19" t="n"/>
      <c r="C202" s="19" t="n"/>
      <c r="D202" s="20" t="n"/>
      <c r="E202" s="19" t="n"/>
      <c r="F202" s="19" t="n"/>
      <c r="G202" s="21" t="n"/>
      <c r="H202" s="1" t="n"/>
      <c r="I202" s="1" t="n"/>
      <c r="J202" s="1" t="n"/>
      <c r="K202" s="1" t="n"/>
      <c r="L202" s="1" t="n"/>
    </row>
    <row r="203">
      <c r="A203" s="18" t="n"/>
      <c r="B203" s="19" t="n"/>
      <c r="C203" s="19" t="n"/>
      <c r="D203" s="20" t="n"/>
      <c r="E203" s="19" t="n"/>
      <c r="F203" s="19" t="n"/>
      <c r="G203" s="21" t="n"/>
      <c r="H203" s="1" t="n"/>
      <c r="I203" s="1" t="n"/>
      <c r="J203" s="1" t="n"/>
      <c r="K203" s="1" t="n"/>
      <c r="L203" s="1" t="n"/>
    </row>
    <row r="204">
      <c r="A204" s="18" t="n"/>
      <c r="B204" s="19" t="n"/>
      <c r="C204" s="19" t="n"/>
      <c r="D204" s="20" t="n"/>
      <c r="E204" s="19" t="n"/>
      <c r="F204" s="19" t="n"/>
      <c r="G204" s="21" t="n"/>
      <c r="H204" s="1" t="n"/>
      <c r="I204" s="1" t="n"/>
      <c r="J204" s="1" t="n"/>
      <c r="K204" s="1" t="n"/>
      <c r="L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autoFilter ref="A4:G204"/>
  <conditionalFormatting sqref="G5:G204">
    <cfRule type="expression" priority="1" dxfId="5">
      <formula>$G5="Recebido"</formula>
    </cfRule>
    <cfRule type="expression" priority="2" dxfId="6">
      <formula>$G5="Pendente"</formula>
    </cfRule>
  </conditionalFormatting>
  <dataValidations count="4">
    <dataValidation sqref="C5:C204" showDropDown="0" showInputMessage="0" showErrorMessage="0" allowBlank="1" type="list">
      <formula1>=CatReceitas</formula1>
    </dataValidation>
    <dataValidation sqref="E5:E204" showDropDown="0" showInputMessage="0" showErrorMessage="0" allowBlank="1" type="list">
      <formula1>=FormasPag</formula1>
    </dataValidation>
    <dataValidation sqref="F5:F204" showDropDown="0" showInputMessage="0" showErrorMessage="0" allowBlank="1" type="list">
      <formula1>=ListaContas</formula1>
    </dataValidation>
    <dataValidation sqref="G5:G204" showDropDown="0" showInputMessage="0" showErrorMessage="0" allowBlank="1" type="list">
      <formula1>"Recebido,Pendente"</formula1>
    </dataValidation>
  </dataValidations>
  <hyperlinks>
    <hyperlink ref="B1" location="'📊 Dashboard'!A1" tooltip="Ir para 📊 Dashboard"/>
    <hyperlink ref="C1" location="'💰 Receitas'!A1" tooltip="Ir para 💰 Receitas"/>
    <hyperlink ref="D1" location="'💸 Despesas'!A1" tooltip="Ir para 💸 Despesas"/>
    <hyperlink ref="E1" location="'🏦 Contas'!A1" tooltip="Ir para 🏦 Contas"/>
    <hyperlink ref="F1" location="'💳 Cartões'!A1" tooltip="Ir para 💳 Cartões"/>
    <hyperlink ref="G1" location="'🎯 Metas'!A1" tooltip="Ir para 🎯 Metas"/>
    <hyperlink ref="H1" location="'📅 Planejamento'!A1" tooltip="Ir para 📅 Planejamento"/>
    <hyperlink ref="I1" location="'📈 Relatórios'!A1" tooltip="Ir para 📈 Relatórios"/>
    <hyperlink ref="J1" location="'🔔 Alertas'!A1" tooltip="Ir para 🔔 Alertas"/>
    <hyperlink ref="K1" location="'⚙️ Config'!A1" tooltip="Ir para ⚙️ Config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B5E20"/>
    <outlinePr summaryBelow="1" summaryRight="1"/>
    <pageSetUpPr/>
  </sheetPr>
  <dimension ref="A1:M20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5" customWidth="1" min="3" max="3"/>
    <col width="13" customWidth="1" min="4" max="4"/>
    <col width="18" customWidth="1" min="5" max="5"/>
    <col width="11" customWidth="1" min="6" max="6"/>
    <col width="10" customWidth="1" min="7" max="7"/>
    <col width="13" customWidth="1" min="8" max="8"/>
    <col width="9" customWidth="1" min="9" max="9"/>
    <col width="11" customWidth="1" min="10" max="10"/>
    <col hidden="1" width="5" customWidth="1" min="11" max="11"/>
  </cols>
  <sheetData>
    <row r="1" ht="24" customHeight="1">
      <c r="A1" s="1" t="n"/>
      <c r="B1" s="3" t="inlineStr">
        <is>
          <t>📊 Início</t>
        </is>
      </c>
      <c r="C1" s="3" t="inlineStr">
        <is>
          <t>💰 Receitas</t>
        </is>
      </c>
      <c r="D1" s="2" t="inlineStr">
        <is>
          <t>💸 Despesas</t>
        </is>
      </c>
      <c r="E1" s="3" t="inlineStr">
        <is>
          <t>🏦 Contas</t>
        </is>
      </c>
      <c r="F1" s="3" t="inlineStr">
        <is>
          <t>💳 Cartões</t>
        </is>
      </c>
      <c r="G1" s="3" t="inlineStr">
        <is>
          <t>🎯 Metas</t>
        </is>
      </c>
      <c r="H1" s="3" t="inlineStr">
        <is>
          <t>📅 Orçamento</t>
        </is>
      </c>
      <c r="I1" s="3" t="inlineStr">
        <is>
          <t>📈 Relatórios</t>
        </is>
      </c>
      <c r="J1" s="3" t="inlineStr">
        <is>
          <t>🔔 Alertas</t>
        </is>
      </c>
      <c r="K1" s="3" t="inlineStr">
        <is>
          <t>⚙️ Config</t>
        </is>
      </c>
      <c r="L1" s="1" t="n"/>
      <c r="M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>
      <c r="A3" s="1" t="n"/>
      <c r="B3" s="4" t="inlineStr">
        <is>
          <t>💸 Controle de Despesas</t>
        </is>
      </c>
      <c r="C3" s="1" t="n"/>
      <c r="D3" s="1" t="n"/>
      <c r="E3" s="1" t="n"/>
      <c r="F3" s="7">
        <f>"Em aberto: "&amp;COUNTIFS($I$5:$I$204,"Não")&amp;" conta(s) não paga(s)"</f>
        <v/>
      </c>
      <c r="G3" s="1" t="n"/>
      <c r="H3" s="1" t="n"/>
      <c r="I3" s="1" t="n"/>
      <c r="J3" s="1" t="n"/>
      <c r="K3" s="1" t="n"/>
      <c r="L3" s="1" t="n"/>
      <c r="M3" s="1" t="n"/>
    </row>
    <row r="4">
      <c r="A4" s="17" t="inlineStr">
        <is>
          <t>Data</t>
        </is>
      </c>
      <c r="B4" s="17" t="inlineStr">
        <is>
          <t>Descrição</t>
        </is>
      </c>
      <c r="C4" s="17" t="inlineStr">
        <is>
          <t>Categoria</t>
        </is>
      </c>
      <c r="D4" s="17" t="inlineStr">
        <is>
          <t>Valor</t>
        </is>
      </c>
      <c r="E4" s="17" t="inlineStr">
        <is>
          <t>Forma de Pagamento</t>
        </is>
      </c>
      <c r="F4" s="17" t="inlineStr">
        <is>
          <t>Cartão</t>
        </is>
      </c>
      <c r="G4" s="17" t="inlineStr">
        <is>
          <t>Parcelas</t>
        </is>
      </c>
      <c r="H4" s="17" t="inlineStr">
        <is>
          <t>Vencimento</t>
        </is>
      </c>
      <c r="I4" s="17" t="inlineStr">
        <is>
          <t>Pago</t>
        </is>
      </c>
      <c r="J4" s="17" t="inlineStr">
        <is>
          <t>Conta</t>
        </is>
      </c>
      <c r="K4" s="17" t="inlineStr">
        <is>
          <t>•</t>
        </is>
      </c>
      <c r="L4" s="1" t="n"/>
      <c r="M4" s="1" t="n"/>
    </row>
    <row r="5">
      <c r="A5" s="18" t="n">
        <v>46025</v>
      </c>
      <c r="B5" s="19" t="inlineStr">
        <is>
          <t>Energia elétrica</t>
        </is>
      </c>
      <c r="C5" s="19" t="inlineStr">
        <is>
          <t>Contas Fixas</t>
        </is>
      </c>
      <c r="D5" s="20" t="n">
        <v>175</v>
      </c>
      <c r="E5" s="19" t="inlineStr">
        <is>
          <t>Pix</t>
        </is>
      </c>
      <c r="F5" s="21" t="inlineStr"/>
      <c r="G5" s="21" t="inlineStr"/>
      <c r="H5" s="18" t="n">
        <v>46030</v>
      </c>
      <c r="I5" s="21" t="inlineStr">
        <is>
          <t>Sim</t>
        </is>
      </c>
      <c r="J5" s="21" t="inlineStr">
        <is>
          <t>Itaú</t>
        </is>
      </c>
      <c r="K5" s="22">
        <f>IF(AND($I5="Não",$H5&lt;&gt;"",$H5&lt;=TODAY()+7),COUNTIFS($H$5:$H$204,"&lt;"&amp;$H5,$I$5:$I$204,"Não",$H$5:$H$204,"&lt;="&amp;TODAY()+7)+COUNTIFS($H$5:$H5,$H5,$I$5:$I5,"Não"),"")</f>
        <v/>
      </c>
      <c r="L5" s="1" t="n"/>
      <c r="M5" s="1" t="n"/>
    </row>
    <row r="6">
      <c r="A6" s="18" t="n">
        <v>46026</v>
      </c>
      <c r="B6" s="19" t="inlineStr">
        <is>
          <t>Academia</t>
        </is>
      </c>
      <c r="C6" s="19" t="inlineStr">
        <is>
          <t>Saúde</t>
        </is>
      </c>
      <c r="D6" s="20" t="n">
        <v>90</v>
      </c>
      <c r="E6" s="19" t="inlineStr">
        <is>
          <t>Débito</t>
        </is>
      </c>
      <c r="F6" s="21" t="inlineStr"/>
      <c r="G6" s="21" t="inlineStr"/>
      <c r="H6" s="18" t="n">
        <v>46027</v>
      </c>
      <c r="I6" s="21" t="inlineStr">
        <is>
          <t>Sim</t>
        </is>
      </c>
      <c r="J6" s="21" t="inlineStr">
        <is>
          <t>Nubank</t>
        </is>
      </c>
      <c r="K6" s="22">
        <f>IF(AND($I6="Não",$H6&lt;&gt;"",$H6&lt;=TODAY()+7),COUNTIFS($H$5:$H$204,"&lt;"&amp;$H6,$I$5:$I$204,"Não",$H$5:$H$204,"&lt;="&amp;TODAY()+7)+COUNTIFS($H$5:$H6,$H6,$I$5:$I6,"Não"),"")</f>
        <v/>
      </c>
      <c r="L6" s="1" t="n"/>
      <c r="M6" s="1" t="n"/>
    </row>
    <row r="7">
      <c r="A7" s="18" t="n">
        <v>46028</v>
      </c>
      <c r="B7" s="19" t="inlineStr">
        <is>
          <t>Streaming (Netflix + Spotify)</t>
        </is>
      </c>
      <c r="C7" s="19" t="inlineStr">
        <is>
          <t>Assinaturas</t>
        </is>
      </c>
      <c r="D7" s="20" t="n">
        <v>55</v>
      </c>
      <c r="E7" s="19" t="inlineStr">
        <is>
          <t>Crédito</t>
        </is>
      </c>
      <c r="F7" s="21" t="inlineStr">
        <is>
          <t>Nubank</t>
        </is>
      </c>
      <c r="G7" s="21" t="inlineStr"/>
      <c r="H7" s="18" t="n">
        <v>46058</v>
      </c>
      <c r="I7" s="21" t="inlineStr">
        <is>
          <t>Sim</t>
        </is>
      </c>
      <c r="J7" s="21" t="inlineStr">
        <is>
          <t>Nubank</t>
        </is>
      </c>
      <c r="K7" s="22">
        <f>IF(AND($I7="Não",$H7&lt;&gt;"",$H7&lt;=TODAY()+7),COUNTIFS($H$5:$H$204,"&lt;"&amp;$H7,$I$5:$I$204,"Não",$H$5:$H$204,"&lt;="&amp;TODAY()+7)+COUNTIFS($H$5:$H7,$H7,$I$5:$I7,"Não"),"")</f>
        <v/>
      </c>
      <c r="L7" s="1" t="n"/>
      <c r="M7" s="1" t="n"/>
    </row>
    <row r="8">
      <c r="A8" s="18" t="n">
        <v>46028</v>
      </c>
      <c r="B8" s="19" t="inlineStr">
        <is>
          <t>Aporte em investimentos</t>
        </is>
      </c>
      <c r="C8" s="19" t="inlineStr">
        <is>
          <t>Investimentos</t>
        </is>
      </c>
      <c r="D8" s="20" t="n">
        <v>500</v>
      </c>
      <c r="E8" s="19" t="inlineStr">
        <is>
          <t>Transferência</t>
        </is>
      </c>
      <c r="F8" s="21" t="inlineStr"/>
      <c r="G8" s="21" t="inlineStr"/>
      <c r="H8" s="18" t="n">
        <v>46028</v>
      </c>
      <c r="I8" s="21" t="inlineStr">
        <is>
          <t>Sim</t>
        </is>
      </c>
      <c r="J8" s="21" t="inlineStr">
        <is>
          <t>Itaú</t>
        </is>
      </c>
      <c r="K8" s="22">
        <f>IF(AND($I8="Não",$H8&lt;&gt;"",$H8&lt;=TODAY()+7),COUNTIFS($H$5:$H$204,"&lt;"&amp;$H8,$I$5:$I$204,"Não",$H$5:$H$204,"&lt;="&amp;TODAY()+7)+COUNTIFS($H$5:$H8,$H8,$I$5:$I8,"Não"),"")</f>
        <v/>
      </c>
      <c r="L8" s="1" t="n"/>
      <c r="M8" s="1" t="n"/>
    </row>
    <row r="9">
      <c r="A9" s="18" t="n">
        <v>46030</v>
      </c>
      <c r="B9" s="19" t="inlineStr">
        <is>
          <t>Aluguel + condomínio</t>
        </is>
      </c>
      <c r="C9" s="19" t="inlineStr">
        <is>
          <t>Moradia</t>
        </is>
      </c>
      <c r="D9" s="20" t="n">
        <v>1500</v>
      </c>
      <c r="E9" s="19" t="inlineStr">
        <is>
          <t>Boleto</t>
        </is>
      </c>
      <c r="F9" s="21" t="inlineStr"/>
      <c r="G9" s="21" t="inlineStr"/>
      <c r="H9" s="18" t="n">
        <v>46032</v>
      </c>
      <c r="I9" s="21" t="inlineStr">
        <is>
          <t>Sim</t>
        </is>
      </c>
      <c r="J9" s="21" t="inlineStr">
        <is>
          <t>Itaú</t>
        </is>
      </c>
      <c r="K9" s="22">
        <f>IF(AND($I9="Não",$H9&lt;&gt;"",$H9&lt;=TODAY()+7),COUNTIFS($H$5:$H$204,"&lt;"&amp;$H9,$I$5:$I$204,"Não",$H$5:$H$204,"&lt;="&amp;TODAY()+7)+COUNTIFS($H$5:$H9,$H9,$I$5:$I9,"Não"),"")</f>
        <v/>
      </c>
      <c r="L9" s="1" t="n"/>
      <c r="M9" s="1" t="n"/>
    </row>
    <row r="10">
      <c r="A10" s="18" t="n">
        <v>46032</v>
      </c>
      <c r="B10" s="19" t="inlineStr">
        <is>
          <t>Plano de celular</t>
        </is>
      </c>
      <c r="C10" s="19" t="inlineStr">
        <is>
          <t>Contas Fixas</t>
        </is>
      </c>
      <c r="D10" s="20" t="n">
        <v>60</v>
      </c>
      <c r="E10" s="19" t="inlineStr">
        <is>
          <t>Débito</t>
        </is>
      </c>
      <c r="F10" s="21" t="inlineStr"/>
      <c r="G10" s="21" t="inlineStr"/>
      <c r="H10" s="18" t="n">
        <v>46034</v>
      </c>
      <c r="I10" s="21" t="inlineStr">
        <is>
          <t>Sim</t>
        </is>
      </c>
      <c r="J10" s="21" t="inlineStr">
        <is>
          <t>Nubank</t>
        </is>
      </c>
      <c r="K10" s="22">
        <f>IF(AND($I10="Não",$H10&lt;&gt;"",$H10&lt;=TODAY()+7),COUNTIFS($H$5:$H$204,"&lt;"&amp;$H10,$I$5:$I$204,"Não",$H$5:$H$204,"&lt;="&amp;TODAY()+7)+COUNTIFS($H$5:$H10,$H10,$I$5:$I10,"Não"),"")</f>
        <v/>
      </c>
      <c r="L10" s="1" t="n"/>
      <c r="M10" s="1" t="n"/>
    </row>
    <row r="11">
      <c r="A11" s="18" t="n">
        <v>46034</v>
      </c>
      <c r="B11" s="19" t="inlineStr">
        <is>
          <t>Supermercado do mês</t>
        </is>
      </c>
      <c r="C11" s="19" t="inlineStr">
        <is>
          <t>Alimentação</t>
        </is>
      </c>
      <c r="D11" s="20" t="n">
        <v>620</v>
      </c>
      <c r="E11" s="19" t="inlineStr">
        <is>
          <t>Crédito</t>
        </is>
      </c>
      <c r="F11" s="21" t="inlineStr">
        <is>
          <t>Nubank</t>
        </is>
      </c>
      <c r="G11" s="21" t="inlineStr"/>
      <c r="H11" s="18" t="n">
        <v>46058</v>
      </c>
      <c r="I11" s="21" t="inlineStr">
        <is>
          <t>Sim</t>
        </is>
      </c>
      <c r="J11" s="21" t="inlineStr">
        <is>
          <t>Nubank</t>
        </is>
      </c>
      <c r="K11" s="22">
        <f>IF(AND($I11="Não",$H11&lt;&gt;"",$H11&lt;=TODAY()+7),COUNTIFS($H$5:$H$204,"&lt;"&amp;$H11,$I$5:$I$204,"Não",$H$5:$H$204,"&lt;="&amp;TODAY()+7)+COUNTIFS($H$5:$H11,$H11,$I$5:$I11,"Não"),"")</f>
        <v/>
      </c>
      <c r="L11" s="1" t="n"/>
      <c r="M11" s="1" t="n"/>
    </row>
    <row r="12">
      <c r="A12" s="18" t="n">
        <v>46035</v>
      </c>
      <c r="B12" s="19" t="inlineStr">
        <is>
          <t>Internet fibra</t>
        </is>
      </c>
      <c r="C12" s="19" t="inlineStr">
        <is>
          <t>Contas Fixas</t>
        </is>
      </c>
      <c r="D12" s="20" t="n">
        <v>100</v>
      </c>
      <c r="E12" s="19" t="inlineStr">
        <is>
          <t>Débito</t>
        </is>
      </c>
      <c r="F12" s="21" t="inlineStr"/>
      <c r="G12" s="21" t="inlineStr"/>
      <c r="H12" s="18" t="n">
        <v>46037</v>
      </c>
      <c r="I12" s="21" t="inlineStr">
        <is>
          <t>Sim</t>
        </is>
      </c>
      <c r="J12" s="21" t="inlineStr">
        <is>
          <t>Itaú</t>
        </is>
      </c>
      <c r="K12" s="22">
        <f>IF(AND($I12="Não",$H12&lt;&gt;"",$H12&lt;=TODAY()+7),COUNTIFS($H$5:$H$204,"&lt;"&amp;$H12,$I$5:$I$204,"Não",$H$5:$H$204,"&lt;="&amp;TODAY()+7)+COUNTIFS($H$5:$H12,$H12,$I$5:$I12,"Não"),"")</f>
        <v/>
      </c>
      <c r="L12" s="1" t="n"/>
      <c r="M12" s="1" t="n"/>
    </row>
    <row r="13">
      <c r="A13" s="18" t="n">
        <v>46038</v>
      </c>
      <c r="B13" s="19" t="inlineStr">
        <is>
          <t>Combustível</t>
        </is>
      </c>
      <c r="C13" s="19" t="inlineStr">
        <is>
          <t>Transporte</t>
        </is>
      </c>
      <c r="D13" s="20" t="n">
        <v>240</v>
      </c>
      <c r="E13" s="19" t="inlineStr">
        <is>
          <t>Crédito</t>
        </is>
      </c>
      <c r="F13" s="21" t="inlineStr">
        <is>
          <t>Itaú</t>
        </is>
      </c>
      <c r="G13" s="21" t="inlineStr"/>
      <c r="H13" s="18" t="n">
        <v>46056</v>
      </c>
      <c r="I13" s="21" t="inlineStr">
        <is>
          <t>Sim</t>
        </is>
      </c>
      <c r="J13" s="21" t="inlineStr">
        <is>
          <t>Itaú</t>
        </is>
      </c>
      <c r="K13" s="22">
        <f>IF(AND($I13="Não",$H13&lt;&gt;"",$H13&lt;=TODAY()+7),COUNTIFS($H$5:$H$204,"&lt;"&amp;$H13,$I$5:$I$204,"Não",$H$5:$H$204,"&lt;="&amp;TODAY()+7)+COUNTIFS($H$5:$H13,$H13,$I$5:$I13,"Não"),"")</f>
        <v/>
      </c>
      <c r="L13" s="1" t="n"/>
      <c r="M13" s="1" t="n"/>
    </row>
    <row r="14">
      <c r="A14" s="18" t="n">
        <v>46042</v>
      </c>
      <c r="B14" s="19" t="inlineStr">
        <is>
          <t>Roupas de trabalho</t>
        </is>
      </c>
      <c r="C14" s="19" t="inlineStr">
        <is>
          <t>Vestuário</t>
        </is>
      </c>
      <c r="D14" s="20" t="n">
        <v>180</v>
      </c>
      <c r="E14" s="19" t="inlineStr">
        <is>
          <t>Crédito</t>
        </is>
      </c>
      <c r="F14" s="21" t="inlineStr">
        <is>
          <t>Itaú</t>
        </is>
      </c>
      <c r="G14" s="21" t="inlineStr"/>
      <c r="H14" s="18" t="n">
        <v>46056</v>
      </c>
      <c r="I14" s="21" t="inlineStr">
        <is>
          <t>Sim</t>
        </is>
      </c>
      <c r="J14" s="21" t="inlineStr">
        <is>
          <t>Itaú</t>
        </is>
      </c>
      <c r="K14" s="22">
        <f>IF(AND($I14="Não",$H14&lt;&gt;"",$H14&lt;=TODAY()+7),COUNTIFS($H$5:$H$204,"&lt;"&amp;$H14,$I$5:$I$204,"Não",$H$5:$H$204,"&lt;="&amp;TODAY()+7)+COUNTIFS($H$5:$H14,$H14,$I$5:$I14,"Não"),"")</f>
        <v/>
      </c>
      <c r="L14" s="1" t="n"/>
      <c r="M14" s="1" t="n"/>
    </row>
    <row r="15">
      <c r="A15" s="18" t="n">
        <v>46044</v>
      </c>
      <c r="B15" s="19" t="inlineStr">
        <is>
          <t>Restaurantes e delivery</t>
        </is>
      </c>
      <c r="C15" s="19" t="inlineStr">
        <is>
          <t>Lazer</t>
        </is>
      </c>
      <c r="D15" s="20" t="n">
        <v>180</v>
      </c>
      <c r="E15" s="19" t="inlineStr">
        <is>
          <t>Crédito</t>
        </is>
      </c>
      <c r="F15" s="21" t="inlineStr">
        <is>
          <t>Nubank</t>
        </is>
      </c>
      <c r="G15" s="21" t="inlineStr"/>
      <c r="H15" s="18" t="n">
        <v>46058</v>
      </c>
      <c r="I15" s="21" t="inlineStr">
        <is>
          <t>Sim</t>
        </is>
      </c>
      <c r="J15" s="21" t="inlineStr">
        <is>
          <t>Nubank</t>
        </is>
      </c>
      <c r="K15" s="22">
        <f>IF(AND($I15="Não",$H15&lt;&gt;"",$H15&lt;=TODAY()+7),COUNTIFS($H$5:$H$204,"&lt;"&amp;$H15,$I$5:$I$204,"Não",$H$5:$H$204,"&lt;="&amp;TODAY()+7)+COUNTIFS($H$5:$H15,$H15,$I$5:$I15,"Não"),"")</f>
        <v/>
      </c>
      <c r="L15" s="1" t="n"/>
      <c r="M15" s="1" t="n"/>
    </row>
    <row r="16">
      <c r="A16" s="18" t="n">
        <v>46054</v>
      </c>
      <c r="B16" s="19" t="inlineStr">
        <is>
          <t>Notebook Dell — parcela 1/12</t>
        </is>
      </c>
      <c r="C16" s="19" t="inlineStr">
        <is>
          <t>Outros</t>
        </is>
      </c>
      <c r="D16" s="20" t="n">
        <v>300</v>
      </c>
      <c r="E16" s="19" t="inlineStr">
        <is>
          <t>Crédito</t>
        </is>
      </c>
      <c r="F16" s="21" t="inlineStr">
        <is>
          <t>Itaú</t>
        </is>
      </c>
      <c r="G16" s="21" t="inlineStr">
        <is>
          <t>12x</t>
        </is>
      </c>
      <c r="H16" s="18" t="n">
        <v>46084</v>
      </c>
      <c r="I16" s="21" t="inlineStr">
        <is>
          <t>Sim</t>
        </is>
      </c>
      <c r="J16" s="21" t="inlineStr">
        <is>
          <t>Itaú</t>
        </is>
      </c>
      <c r="K16" s="22">
        <f>IF(AND($I16="Não",$H16&lt;&gt;"",$H16&lt;=TODAY()+7),COUNTIFS($H$5:$H$204,"&lt;"&amp;$H16,$I$5:$I$204,"Não",$H$5:$H$204,"&lt;="&amp;TODAY()+7)+COUNTIFS($H$5:$H16,$H16,$I$5:$I16,"Não"),"")</f>
        <v/>
      </c>
      <c r="L16" s="1" t="n"/>
      <c r="M16" s="1" t="n"/>
    </row>
    <row r="17">
      <c r="A17" s="18" t="n">
        <v>46056</v>
      </c>
      <c r="B17" s="19" t="inlineStr">
        <is>
          <t>Energia elétrica</t>
        </is>
      </c>
      <c r="C17" s="19" t="inlineStr">
        <is>
          <t>Contas Fixas</t>
        </is>
      </c>
      <c r="D17" s="20" t="n">
        <v>182</v>
      </c>
      <c r="E17" s="19" t="inlineStr">
        <is>
          <t>Pix</t>
        </is>
      </c>
      <c r="F17" s="21" t="inlineStr"/>
      <c r="G17" s="21" t="inlineStr"/>
      <c r="H17" s="18" t="n">
        <v>46061</v>
      </c>
      <c r="I17" s="21" t="inlineStr">
        <is>
          <t>Sim</t>
        </is>
      </c>
      <c r="J17" s="21" t="inlineStr">
        <is>
          <t>Itaú</t>
        </is>
      </c>
      <c r="K17" s="22">
        <f>IF(AND($I17="Não",$H17&lt;&gt;"",$H17&lt;=TODAY()+7),COUNTIFS($H$5:$H$204,"&lt;"&amp;$H17,$I$5:$I$204,"Não",$H$5:$H$204,"&lt;="&amp;TODAY()+7)+COUNTIFS($H$5:$H17,$H17,$I$5:$I17,"Não"),"")</f>
        <v/>
      </c>
      <c r="L17" s="1" t="n"/>
      <c r="M17" s="1" t="n"/>
    </row>
    <row r="18">
      <c r="A18" s="18" t="n">
        <v>46057</v>
      </c>
      <c r="B18" s="19" t="inlineStr">
        <is>
          <t>Academia</t>
        </is>
      </c>
      <c r="C18" s="19" t="inlineStr">
        <is>
          <t>Saúde</t>
        </is>
      </c>
      <c r="D18" s="20" t="n">
        <v>90</v>
      </c>
      <c r="E18" s="19" t="inlineStr">
        <is>
          <t>Débito</t>
        </is>
      </c>
      <c r="F18" s="21" t="inlineStr"/>
      <c r="G18" s="21" t="inlineStr"/>
      <c r="H18" s="18" t="n">
        <v>46058</v>
      </c>
      <c r="I18" s="21" t="inlineStr">
        <is>
          <t>Sim</t>
        </is>
      </c>
      <c r="J18" s="21" t="inlineStr">
        <is>
          <t>Nubank</t>
        </is>
      </c>
      <c r="K18" s="22">
        <f>IF(AND($I18="Não",$H18&lt;&gt;"",$H18&lt;=TODAY()+7),COUNTIFS($H$5:$H$204,"&lt;"&amp;$H18,$I$5:$I$204,"Não",$H$5:$H$204,"&lt;="&amp;TODAY()+7)+COUNTIFS($H$5:$H18,$H18,$I$5:$I18,"Não"),"")</f>
        <v/>
      </c>
      <c r="L18" s="1" t="n"/>
      <c r="M18" s="1" t="n"/>
    </row>
    <row r="19">
      <c r="A19" s="18" t="n">
        <v>46059</v>
      </c>
      <c r="B19" s="19" t="inlineStr">
        <is>
          <t>Streaming (Netflix + Spotify)</t>
        </is>
      </c>
      <c r="C19" s="19" t="inlineStr">
        <is>
          <t>Assinaturas</t>
        </is>
      </c>
      <c r="D19" s="20" t="n">
        <v>55</v>
      </c>
      <c r="E19" s="19" t="inlineStr">
        <is>
          <t>Crédito</t>
        </is>
      </c>
      <c r="F19" s="21" t="inlineStr">
        <is>
          <t>Nubank</t>
        </is>
      </c>
      <c r="G19" s="21" t="inlineStr"/>
      <c r="H19" s="18" t="n">
        <v>46086</v>
      </c>
      <c r="I19" s="21" t="inlineStr">
        <is>
          <t>Sim</t>
        </is>
      </c>
      <c r="J19" s="21" t="inlineStr">
        <is>
          <t>Nubank</t>
        </is>
      </c>
      <c r="K19" s="22">
        <f>IF(AND($I19="Não",$H19&lt;&gt;"",$H19&lt;=TODAY()+7),COUNTIFS($H$5:$H$204,"&lt;"&amp;$H19,$I$5:$I$204,"Não",$H$5:$H$204,"&lt;="&amp;TODAY()+7)+COUNTIFS($H$5:$H19,$H19,$I$5:$I19,"Não"),"")</f>
        <v/>
      </c>
      <c r="L19" s="1" t="n"/>
      <c r="M19" s="1" t="n"/>
    </row>
    <row r="20">
      <c r="A20" s="18" t="n">
        <v>46059</v>
      </c>
      <c r="B20" s="19" t="inlineStr">
        <is>
          <t>Aporte em investimentos</t>
        </is>
      </c>
      <c r="C20" s="19" t="inlineStr">
        <is>
          <t>Investimentos</t>
        </is>
      </c>
      <c r="D20" s="20" t="n">
        <v>500</v>
      </c>
      <c r="E20" s="19" t="inlineStr">
        <is>
          <t>Transferência</t>
        </is>
      </c>
      <c r="F20" s="21" t="inlineStr"/>
      <c r="G20" s="21" t="inlineStr"/>
      <c r="H20" s="18" t="n">
        <v>46059</v>
      </c>
      <c r="I20" s="21" t="inlineStr">
        <is>
          <t>Sim</t>
        </is>
      </c>
      <c r="J20" s="21" t="inlineStr">
        <is>
          <t>Itaú</t>
        </is>
      </c>
      <c r="K20" s="22">
        <f>IF(AND($I20="Não",$H20&lt;&gt;"",$H20&lt;=TODAY()+7),COUNTIFS($H$5:$H$204,"&lt;"&amp;$H20,$I$5:$I$204,"Não",$H$5:$H$204,"&lt;="&amp;TODAY()+7)+COUNTIFS($H$5:$H20,$H20,$I$5:$I20,"Não"),"")</f>
        <v/>
      </c>
      <c r="L20" s="1" t="n"/>
      <c r="M20" s="1" t="n"/>
    </row>
    <row r="21">
      <c r="A21" s="18" t="n">
        <v>46061</v>
      </c>
      <c r="B21" s="19" t="inlineStr">
        <is>
          <t>Aluguel + condomínio</t>
        </is>
      </c>
      <c r="C21" s="19" t="inlineStr">
        <is>
          <t>Moradia</t>
        </is>
      </c>
      <c r="D21" s="20" t="n">
        <v>1500</v>
      </c>
      <c r="E21" s="19" t="inlineStr">
        <is>
          <t>Boleto</t>
        </is>
      </c>
      <c r="F21" s="21" t="inlineStr"/>
      <c r="G21" s="21" t="inlineStr"/>
      <c r="H21" s="18" t="n">
        <v>46063</v>
      </c>
      <c r="I21" s="21" t="inlineStr">
        <is>
          <t>Sim</t>
        </is>
      </c>
      <c r="J21" s="21" t="inlineStr">
        <is>
          <t>Itaú</t>
        </is>
      </c>
      <c r="K21" s="22">
        <f>IF(AND($I21="Não",$H21&lt;&gt;"",$H21&lt;=TODAY()+7),COUNTIFS($H$5:$H$204,"&lt;"&amp;$H21,$I$5:$I$204,"Não",$H$5:$H$204,"&lt;="&amp;TODAY()+7)+COUNTIFS($H$5:$H21,$H21,$I$5:$I21,"Não"),"")</f>
        <v/>
      </c>
      <c r="L21" s="1" t="n"/>
      <c r="M21" s="1" t="n"/>
    </row>
    <row r="22">
      <c r="A22" s="18" t="n">
        <v>46062</v>
      </c>
      <c r="B22" s="19" t="inlineStr">
        <is>
          <t>IPVA — parcela única</t>
        </is>
      </c>
      <c r="C22" s="19" t="inlineStr">
        <is>
          <t>Transporte</t>
        </is>
      </c>
      <c r="D22" s="20" t="n">
        <v>310</v>
      </c>
      <c r="E22" s="19" t="inlineStr">
        <is>
          <t>Boleto</t>
        </is>
      </c>
      <c r="F22" s="21" t="inlineStr"/>
      <c r="G22" s="21" t="inlineStr"/>
      <c r="H22" s="18" t="n">
        <v>46068</v>
      </c>
      <c r="I22" s="21" t="inlineStr">
        <is>
          <t>Sim</t>
        </is>
      </c>
      <c r="J22" s="21" t="inlineStr">
        <is>
          <t>Itaú</t>
        </is>
      </c>
      <c r="K22" s="22">
        <f>IF(AND($I22="Não",$H22&lt;&gt;"",$H22&lt;=TODAY()+7),COUNTIFS($H$5:$H$204,"&lt;"&amp;$H22,$I$5:$I$204,"Não",$H$5:$H$204,"&lt;="&amp;TODAY()+7)+COUNTIFS($H$5:$H22,$H22,$I$5:$I22,"Não"),"")</f>
        <v/>
      </c>
      <c r="L22" s="1" t="n"/>
      <c r="M22" s="1" t="n"/>
    </row>
    <row r="23">
      <c r="A23" s="18" t="n">
        <v>46063</v>
      </c>
      <c r="B23" s="19" t="inlineStr">
        <is>
          <t>Plano de celular</t>
        </is>
      </c>
      <c r="C23" s="19" t="inlineStr">
        <is>
          <t>Contas Fixas</t>
        </is>
      </c>
      <c r="D23" s="20" t="n">
        <v>60</v>
      </c>
      <c r="E23" s="19" t="inlineStr">
        <is>
          <t>Débito</t>
        </is>
      </c>
      <c r="F23" s="21" t="inlineStr"/>
      <c r="G23" s="21" t="inlineStr"/>
      <c r="H23" s="18" t="n">
        <v>46065</v>
      </c>
      <c r="I23" s="21" t="inlineStr">
        <is>
          <t>Sim</t>
        </is>
      </c>
      <c r="J23" s="21" t="inlineStr">
        <is>
          <t>Nubank</t>
        </is>
      </c>
      <c r="K23" s="22">
        <f>IF(AND($I23="Não",$H23&lt;&gt;"",$H23&lt;=TODAY()+7),COUNTIFS($H$5:$H$204,"&lt;"&amp;$H23,$I$5:$I$204,"Não",$H$5:$H$204,"&lt;="&amp;TODAY()+7)+COUNTIFS($H$5:$H23,$H23,$I$5:$I23,"Não"),"")</f>
        <v/>
      </c>
      <c r="L23" s="1" t="n"/>
      <c r="M23" s="1" t="n"/>
    </row>
    <row r="24">
      <c r="A24" s="18" t="n">
        <v>46065</v>
      </c>
      <c r="B24" s="19" t="inlineStr">
        <is>
          <t>Supermercado do mês</t>
        </is>
      </c>
      <c r="C24" s="19" t="inlineStr">
        <is>
          <t>Alimentação</t>
        </is>
      </c>
      <c r="D24" s="20" t="n">
        <v>580</v>
      </c>
      <c r="E24" s="19" t="inlineStr">
        <is>
          <t>Crédito</t>
        </is>
      </c>
      <c r="F24" s="21" t="inlineStr">
        <is>
          <t>Nubank</t>
        </is>
      </c>
      <c r="G24" s="21" t="inlineStr"/>
      <c r="H24" s="18" t="n">
        <v>46086</v>
      </c>
      <c r="I24" s="21" t="inlineStr">
        <is>
          <t>Sim</t>
        </is>
      </c>
      <c r="J24" s="21" t="inlineStr">
        <is>
          <t>Nubank</t>
        </is>
      </c>
      <c r="K24" s="22">
        <f>IF(AND($I24="Não",$H24&lt;&gt;"",$H24&lt;=TODAY()+7),COUNTIFS($H$5:$H$204,"&lt;"&amp;$H24,$I$5:$I$204,"Não",$H$5:$H$204,"&lt;="&amp;TODAY()+7)+COUNTIFS($H$5:$H24,$H24,$I$5:$I24,"Não"),"")</f>
        <v/>
      </c>
      <c r="L24" s="1" t="n"/>
      <c r="M24" s="1" t="n"/>
    </row>
    <row r="25">
      <c r="A25" s="18" t="n">
        <v>46066</v>
      </c>
      <c r="B25" s="19" t="inlineStr">
        <is>
          <t>Internet fibra</t>
        </is>
      </c>
      <c r="C25" s="19" t="inlineStr">
        <is>
          <t>Contas Fixas</t>
        </is>
      </c>
      <c r="D25" s="20" t="n">
        <v>100</v>
      </c>
      <c r="E25" s="19" t="inlineStr">
        <is>
          <t>Débito</t>
        </is>
      </c>
      <c r="F25" s="21" t="inlineStr"/>
      <c r="G25" s="21" t="inlineStr"/>
      <c r="H25" s="18" t="n">
        <v>46068</v>
      </c>
      <c r="I25" s="21" t="inlineStr">
        <is>
          <t>Sim</t>
        </is>
      </c>
      <c r="J25" s="21" t="inlineStr">
        <is>
          <t>Itaú</t>
        </is>
      </c>
      <c r="K25" s="22">
        <f>IF(AND($I25="Não",$H25&lt;&gt;"",$H25&lt;=TODAY()+7),COUNTIFS($H$5:$H$204,"&lt;"&amp;$H25,$I$5:$I$204,"Não",$H$5:$H$204,"&lt;="&amp;TODAY()+7)+COUNTIFS($H$5:$H25,$H25,$I$5:$I25,"Não"),"")</f>
        <v/>
      </c>
      <c r="L25" s="1" t="n"/>
      <c r="M25" s="1" t="n"/>
    </row>
    <row r="26">
      <c r="A26" s="18" t="n">
        <v>46069</v>
      </c>
      <c r="B26" s="19" t="inlineStr">
        <is>
          <t>Combustível</t>
        </is>
      </c>
      <c r="C26" s="19" t="inlineStr">
        <is>
          <t>Transporte</t>
        </is>
      </c>
      <c r="D26" s="20" t="n">
        <v>220</v>
      </c>
      <c r="E26" s="19" t="inlineStr">
        <is>
          <t>Crédito</t>
        </is>
      </c>
      <c r="F26" s="21" t="inlineStr">
        <is>
          <t>Itaú</t>
        </is>
      </c>
      <c r="G26" s="21" t="inlineStr"/>
      <c r="H26" s="18" t="n">
        <v>46084</v>
      </c>
      <c r="I26" s="21" t="inlineStr">
        <is>
          <t>Sim</t>
        </is>
      </c>
      <c r="J26" s="21" t="inlineStr">
        <is>
          <t>Itaú</t>
        </is>
      </c>
      <c r="K26" s="22">
        <f>IF(AND($I26="Não",$H26&lt;&gt;"",$H26&lt;=TODAY()+7),COUNTIFS($H$5:$H$204,"&lt;"&amp;$H26,$I$5:$I$204,"Não",$H$5:$H$204,"&lt;="&amp;TODAY()+7)+COUNTIFS($H$5:$H26,$H26,$I$5:$I26,"Não"),"")</f>
        <v/>
      </c>
      <c r="L26" s="1" t="n"/>
      <c r="M26" s="1" t="n"/>
    </row>
    <row r="27">
      <c r="A27" s="18" t="n">
        <v>46075</v>
      </c>
      <c r="B27" s="19" t="inlineStr">
        <is>
          <t>Restaurantes e delivery</t>
        </is>
      </c>
      <c r="C27" s="19" t="inlineStr">
        <is>
          <t>Lazer</t>
        </is>
      </c>
      <c r="D27" s="20" t="n">
        <v>210</v>
      </c>
      <c r="E27" s="19" t="inlineStr">
        <is>
          <t>Crédito</t>
        </is>
      </c>
      <c r="F27" s="21" t="inlineStr">
        <is>
          <t>Nubank</t>
        </is>
      </c>
      <c r="G27" s="21" t="inlineStr"/>
      <c r="H27" s="18" t="n">
        <v>46086</v>
      </c>
      <c r="I27" s="21" t="inlineStr">
        <is>
          <t>Sim</t>
        </is>
      </c>
      <c r="J27" s="21" t="inlineStr">
        <is>
          <t>Nubank</t>
        </is>
      </c>
      <c r="K27" s="22">
        <f>IF(AND($I27="Não",$H27&lt;&gt;"",$H27&lt;=TODAY()+7),COUNTIFS($H$5:$H$204,"&lt;"&amp;$H27,$I$5:$I$204,"Não",$H$5:$H$204,"&lt;="&amp;TODAY()+7)+COUNTIFS($H$5:$H27,$H27,$I$5:$I27,"Não"),"")</f>
        <v/>
      </c>
      <c r="L27" s="1" t="n"/>
      <c r="M27" s="1" t="n"/>
    </row>
    <row r="28">
      <c r="A28" s="18" t="n">
        <v>46082</v>
      </c>
      <c r="B28" s="19" t="inlineStr">
        <is>
          <t>Notebook Dell — parcela 2/12</t>
        </is>
      </c>
      <c r="C28" s="19" t="inlineStr">
        <is>
          <t>Outros</t>
        </is>
      </c>
      <c r="D28" s="20" t="n">
        <v>300</v>
      </c>
      <c r="E28" s="19" t="inlineStr">
        <is>
          <t>Crédito</t>
        </is>
      </c>
      <c r="F28" s="21" t="inlineStr">
        <is>
          <t>Itaú</t>
        </is>
      </c>
      <c r="G28" s="21" t="inlineStr">
        <is>
          <t>12x</t>
        </is>
      </c>
      <c r="H28" s="18" t="n">
        <v>46115</v>
      </c>
      <c r="I28" s="21" t="inlineStr">
        <is>
          <t>Sim</t>
        </is>
      </c>
      <c r="J28" s="21" t="inlineStr">
        <is>
          <t>Itaú</t>
        </is>
      </c>
      <c r="K28" s="22">
        <f>IF(AND($I28="Não",$H28&lt;&gt;"",$H28&lt;=TODAY()+7),COUNTIFS($H$5:$H$204,"&lt;"&amp;$H28,$I$5:$I$204,"Não",$H$5:$H$204,"&lt;="&amp;TODAY()+7)+COUNTIFS($H$5:$H28,$H28,$I$5:$I28,"Não"),"")</f>
        <v/>
      </c>
      <c r="L28" s="1" t="n"/>
      <c r="M28" s="1" t="n"/>
    </row>
    <row r="29">
      <c r="A29" s="18" t="n">
        <v>46084</v>
      </c>
      <c r="B29" s="19" t="inlineStr">
        <is>
          <t>Energia elétrica</t>
        </is>
      </c>
      <c r="C29" s="19" t="inlineStr">
        <is>
          <t>Contas Fixas</t>
        </is>
      </c>
      <c r="D29" s="20" t="n">
        <v>160</v>
      </c>
      <c r="E29" s="19" t="inlineStr">
        <is>
          <t>Pix</t>
        </is>
      </c>
      <c r="F29" s="21" t="inlineStr"/>
      <c r="G29" s="21" t="inlineStr"/>
      <c r="H29" s="18" t="n">
        <v>46089</v>
      </c>
      <c r="I29" s="21" t="inlineStr">
        <is>
          <t>Sim</t>
        </is>
      </c>
      <c r="J29" s="21" t="inlineStr">
        <is>
          <t>Itaú</t>
        </is>
      </c>
      <c r="K29" s="22">
        <f>IF(AND($I29="Não",$H29&lt;&gt;"",$H29&lt;=TODAY()+7),COUNTIFS($H$5:$H$204,"&lt;"&amp;$H29,$I$5:$I$204,"Não",$H$5:$H$204,"&lt;="&amp;TODAY()+7)+COUNTIFS($H$5:$H29,$H29,$I$5:$I29,"Não"),"")</f>
        <v/>
      </c>
      <c r="L29" s="1" t="n"/>
      <c r="M29" s="1" t="n"/>
    </row>
    <row r="30">
      <c r="A30" s="18" t="n">
        <v>46085</v>
      </c>
      <c r="B30" s="19" t="inlineStr">
        <is>
          <t>Academia</t>
        </is>
      </c>
      <c r="C30" s="19" t="inlineStr">
        <is>
          <t>Saúde</t>
        </is>
      </c>
      <c r="D30" s="20" t="n">
        <v>90</v>
      </c>
      <c r="E30" s="19" t="inlineStr">
        <is>
          <t>Débito</t>
        </is>
      </c>
      <c r="F30" s="21" t="inlineStr"/>
      <c r="G30" s="21" t="inlineStr"/>
      <c r="H30" s="18" t="n">
        <v>46086</v>
      </c>
      <c r="I30" s="21" t="inlineStr">
        <is>
          <t>Sim</t>
        </is>
      </c>
      <c r="J30" s="21" t="inlineStr">
        <is>
          <t>Nubank</t>
        </is>
      </c>
      <c r="K30" s="22">
        <f>IF(AND($I30="Não",$H30&lt;&gt;"",$H30&lt;=TODAY()+7),COUNTIFS($H$5:$H$204,"&lt;"&amp;$H30,$I$5:$I$204,"Não",$H$5:$H$204,"&lt;="&amp;TODAY()+7)+COUNTIFS($H$5:$H30,$H30,$I$5:$I30,"Não"),"")</f>
        <v/>
      </c>
      <c r="L30" s="1" t="n"/>
      <c r="M30" s="1" t="n"/>
    </row>
    <row r="31">
      <c r="A31" s="18" t="n">
        <v>46087</v>
      </c>
      <c r="B31" s="19" t="inlineStr">
        <is>
          <t>Streaming (Netflix + Spotify)</t>
        </is>
      </c>
      <c r="C31" s="19" t="inlineStr">
        <is>
          <t>Assinaturas</t>
        </is>
      </c>
      <c r="D31" s="20" t="n">
        <v>55</v>
      </c>
      <c r="E31" s="19" t="inlineStr">
        <is>
          <t>Crédito</t>
        </is>
      </c>
      <c r="F31" s="21" t="inlineStr">
        <is>
          <t>Nubank</t>
        </is>
      </c>
      <c r="G31" s="21" t="inlineStr"/>
      <c r="H31" s="18" t="n">
        <v>46117</v>
      </c>
      <c r="I31" s="21" t="inlineStr">
        <is>
          <t>Sim</t>
        </is>
      </c>
      <c r="J31" s="21" t="inlineStr">
        <is>
          <t>Nubank</t>
        </is>
      </c>
      <c r="K31" s="22">
        <f>IF(AND($I31="Não",$H31&lt;&gt;"",$H31&lt;=TODAY()+7),COUNTIFS($H$5:$H$204,"&lt;"&amp;$H31,$I$5:$I$204,"Não",$H$5:$H$204,"&lt;="&amp;TODAY()+7)+COUNTIFS($H$5:$H31,$H31,$I$5:$I31,"Não"),"")</f>
        <v/>
      </c>
      <c r="L31" s="1" t="n"/>
      <c r="M31" s="1" t="n"/>
    </row>
    <row r="32">
      <c r="A32" s="18" t="n">
        <v>46087</v>
      </c>
      <c r="B32" s="19" t="inlineStr">
        <is>
          <t>Aporte em investimentos</t>
        </is>
      </c>
      <c r="C32" s="19" t="inlineStr">
        <is>
          <t>Investimentos</t>
        </is>
      </c>
      <c r="D32" s="20" t="n">
        <v>500</v>
      </c>
      <c r="E32" s="19" t="inlineStr">
        <is>
          <t>Transferência</t>
        </is>
      </c>
      <c r="F32" s="21" t="inlineStr"/>
      <c r="G32" s="21" t="inlineStr"/>
      <c r="H32" s="18" t="n">
        <v>46087</v>
      </c>
      <c r="I32" s="21" t="inlineStr">
        <is>
          <t>Sim</t>
        </is>
      </c>
      <c r="J32" s="21" t="inlineStr">
        <is>
          <t>Itaú</t>
        </is>
      </c>
      <c r="K32" s="22">
        <f>IF(AND($I32="Não",$H32&lt;&gt;"",$H32&lt;=TODAY()+7),COUNTIFS($H$5:$H$204,"&lt;"&amp;$H32,$I$5:$I$204,"Não",$H$5:$H$204,"&lt;="&amp;TODAY()+7)+COUNTIFS($H$5:$H32,$H32,$I$5:$I32,"Não"),"")</f>
        <v/>
      </c>
      <c r="L32" s="1" t="n"/>
      <c r="M32" s="1" t="n"/>
    </row>
    <row r="33">
      <c r="A33" s="18" t="n">
        <v>46089</v>
      </c>
      <c r="B33" s="19" t="inlineStr">
        <is>
          <t>Aluguel + condomínio</t>
        </is>
      </c>
      <c r="C33" s="19" t="inlineStr">
        <is>
          <t>Moradia</t>
        </is>
      </c>
      <c r="D33" s="20" t="n">
        <v>1500</v>
      </c>
      <c r="E33" s="19" t="inlineStr">
        <is>
          <t>Boleto</t>
        </is>
      </c>
      <c r="F33" s="21" t="inlineStr"/>
      <c r="G33" s="21" t="inlineStr"/>
      <c r="H33" s="18" t="n">
        <v>46091</v>
      </c>
      <c r="I33" s="21" t="inlineStr">
        <is>
          <t>Sim</t>
        </is>
      </c>
      <c r="J33" s="21" t="inlineStr">
        <is>
          <t>Itaú</t>
        </is>
      </c>
      <c r="K33" s="22">
        <f>IF(AND($I33="Não",$H33&lt;&gt;"",$H33&lt;=TODAY()+7),COUNTIFS($H$5:$H$204,"&lt;"&amp;$H33,$I$5:$I$204,"Não",$H$5:$H$204,"&lt;="&amp;TODAY()+7)+COUNTIFS($H$5:$H33,$H33,$I$5:$I33,"Não"),"")</f>
        <v/>
      </c>
      <c r="L33" s="1" t="n"/>
      <c r="M33" s="1" t="n"/>
    </row>
    <row r="34">
      <c r="A34" s="18" t="n">
        <v>46091</v>
      </c>
      <c r="B34" s="19" t="inlineStr">
        <is>
          <t>Plano de celular</t>
        </is>
      </c>
      <c r="C34" s="19" t="inlineStr">
        <is>
          <t>Contas Fixas</t>
        </is>
      </c>
      <c r="D34" s="20" t="n">
        <v>60</v>
      </c>
      <c r="E34" s="19" t="inlineStr">
        <is>
          <t>Débito</t>
        </is>
      </c>
      <c r="F34" s="21" t="inlineStr"/>
      <c r="G34" s="21" t="inlineStr"/>
      <c r="H34" s="18" t="n">
        <v>46093</v>
      </c>
      <c r="I34" s="21" t="inlineStr">
        <is>
          <t>Sim</t>
        </is>
      </c>
      <c r="J34" s="21" t="inlineStr">
        <is>
          <t>Nubank</t>
        </is>
      </c>
      <c r="K34" s="22">
        <f>IF(AND($I34="Não",$H34&lt;&gt;"",$H34&lt;=TODAY()+7),COUNTIFS($H$5:$H$204,"&lt;"&amp;$H34,$I$5:$I$204,"Não",$H$5:$H$204,"&lt;="&amp;TODAY()+7)+COUNTIFS($H$5:$H34,$H34,$I$5:$I34,"Não"),"")</f>
        <v/>
      </c>
      <c r="L34" s="1" t="n"/>
      <c r="M34" s="1" t="n"/>
    </row>
    <row r="35">
      <c r="A35" s="18" t="n">
        <v>46093</v>
      </c>
      <c r="B35" s="19" t="inlineStr">
        <is>
          <t>Supermercado do mês</t>
        </is>
      </c>
      <c r="C35" s="19" t="inlineStr">
        <is>
          <t>Alimentação</t>
        </is>
      </c>
      <c r="D35" s="20" t="n">
        <v>710</v>
      </c>
      <c r="E35" s="19" t="inlineStr">
        <is>
          <t>Crédito</t>
        </is>
      </c>
      <c r="F35" s="21" t="inlineStr">
        <is>
          <t>Nubank</t>
        </is>
      </c>
      <c r="G35" s="21" t="inlineStr"/>
      <c r="H35" s="18" t="n">
        <v>46117</v>
      </c>
      <c r="I35" s="21" t="inlineStr">
        <is>
          <t>Sim</t>
        </is>
      </c>
      <c r="J35" s="21" t="inlineStr">
        <is>
          <t>Nubank</t>
        </is>
      </c>
      <c r="K35" s="22">
        <f>IF(AND($I35="Não",$H35&lt;&gt;"",$H35&lt;=TODAY()+7),COUNTIFS($H$5:$H$204,"&lt;"&amp;$H35,$I$5:$I$204,"Não",$H$5:$H$204,"&lt;="&amp;TODAY()+7)+COUNTIFS($H$5:$H35,$H35,$I$5:$I35,"Não"),"")</f>
        <v/>
      </c>
      <c r="L35" s="1" t="n"/>
      <c r="M35" s="1" t="n"/>
    </row>
    <row r="36">
      <c r="A36" s="18" t="n">
        <v>46094</v>
      </c>
      <c r="B36" s="19" t="inlineStr">
        <is>
          <t>Internet fibra</t>
        </is>
      </c>
      <c r="C36" s="19" t="inlineStr">
        <is>
          <t>Contas Fixas</t>
        </is>
      </c>
      <c r="D36" s="20" t="n">
        <v>100</v>
      </c>
      <c r="E36" s="19" t="inlineStr">
        <is>
          <t>Débito</t>
        </is>
      </c>
      <c r="F36" s="21" t="inlineStr"/>
      <c r="G36" s="21" t="inlineStr"/>
      <c r="H36" s="18" t="n">
        <v>46096</v>
      </c>
      <c r="I36" s="21" t="inlineStr">
        <is>
          <t>Sim</t>
        </is>
      </c>
      <c r="J36" s="21" t="inlineStr">
        <is>
          <t>Itaú</t>
        </is>
      </c>
      <c r="K36" s="22">
        <f>IF(AND($I36="Não",$H36&lt;&gt;"",$H36&lt;=TODAY()+7),COUNTIFS($H$5:$H$204,"&lt;"&amp;$H36,$I$5:$I$204,"Não",$H$5:$H$204,"&lt;="&amp;TODAY()+7)+COUNTIFS($H$5:$H36,$H36,$I$5:$I36,"Não"),"")</f>
        <v/>
      </c>
      <c r="L36" s="1" t="n"/>
      <c r="M36" s="1" t="n"/>
    </row>
    <row r="37">
      <c r="A37" s="18" t="n">
        <v>46095</v>
      </c>
      <c r="B37" s="19" t="inlineStr">
        <is>
          <t>Consulta médica</t>
        </is>
      </c>
      <c r="C37" s="19" t="inlineStr">
        <is>
          <t>Saúde</t>
        </is>
      </c>
      <c r="D37" s="20" t="n">
        <v>150</v>
      </c>
      <c r="E37" s="19" t="inlineStr">
        <is>
          <t>Pix</t>
        </is>
      </c>
      <c r="F37" s="21" t="inlineStr"/>
      <c r="G37" s="21" t="inlineStr"/>
      <c r="H37" s="18" t="n">
        <v>46095</v>
      </c>
      <c r="I37" s="21" t="inlineStr">
        <is>
          <t>Sim</t>
        </is>
      </c>
      <c r="J37" s="21" t="inlineStr">
        <is>
          <t>Nubank</t>
        </is>
      </c>
      <c r="K37" s="22">
        <f>IF(AND($I37="Não",$H37&lt;&gt;"",$H37&lt;=TODAY()+7),COUNTIFS($H$5:$H$204,"&lt;"&amp;$H37,$I$5:$I$204,"Não",$H$5:$H$204,"&lt;="&amp;TODAY()+7)+COUNTIFS($H$5:$H37,$H37,$I$5:$I37,"Não"),"")</f>
        <v/>
      </c>
      <c r="L37" s="1" t="n"/>
      <c r="M37" s="1" t="n"/>
    </row>
    <row r="38">
      <c r="A38" s="18" t="n">
        <v>46097</v>
      </c>
      <c r="B38" s="19" t="inlineStr">
        <is>
          <t>Combustível</t>
        </is>
      </c>
      <c r="C38" s="19" t="inlineStr">
        <is>
          <t>Transporte</t>
        </is>
      </c>
      <c r="D38" s="20" t="n">
        <v>260</v>
      </c>
      <c r="E38" s="19" t="inlineStr">
        <is>
          <t>Crédito</t>
        </is>
      </c>
      <c r="F38" s="21" t="inlineStr">
        <is>
          <t>Itaú</t>
        </is>
      </c>
      <c r="G38" s="21" t="inlineStr"/>
      <c r="H38" s="18" t="n">
        <v>46115</v>
      </c>
      <c r="I38" s="21" t="inlineStr">
        <is>
          <t>Sim</t>
        </is>
      </c>
      <c r="J38" s="21" t="inlineStr">
        <is>
          <t>Itaú</t>
        </is>
      </c>
      <c r="K38" s="22">
        <f>IF(AND($I38="Não",$H38&lt;&gt;"",$H38&lt;=TODAY()+7),COUNTIFS($H$5:$H$204,"&lt;"&amp;$H38,$I$5:$I$204,"Não",$H$5:$H$204,"&lt;="&amp;TODAY()+7)+COUNTIFS($H$5:$H38,$H38,$I$5:$I38,"Não"),"")</f>
        <v/>
      </c>
      <c r="L38" s="1" t="n"/>
      <c r="M38" s="1" t="n"/>
    </row>
    <row r="39">
      <c r="A39" s="18" t="n">
        <v>46103</v>
      </c>
      <c r="B39" s="19" t="inlineStr">
        <is>
          <t>Restaurantes e delivery</t>
        </is>
      </c>
      <c r="C39" s="19" t="inlineStr">
        <is>
          <t>Lazer</t>
        </is>
      </c>
      <c r="D39" s="20" t="n">
        <v>150</v>
      </c>
      <c r="E39" s="19" t="inlineStr">
        <is>
          <t>Crédito</t>
        </is>
      </c>
      <c r="F39" s="21" t="inlineStr">
        <is>
          <t>Nubank</t>
        </is>
      </c>
      <c r="G39" s="21" t="inlineStr"/>
      <c r="H39" s="18" t="n">
        <v>46117</v>
      </c>
      <c r="I39" s="21" t="inlineStr">
        <is>
          <t>Sim</t>
        </is>
      </c>
      <c r="J39" s="21" t="inlineStr">
        <is>
          <t>Nubank</t>
        </is>
      </c>
      <c r="K39" s="22">
        <f>IF(AND($I39="Não",$H39&lt;&gt;"",$H39&lt;=TODAY()+7),COUNTIFS($H$5:$H$204,"&lt;"&amp;$H39,$I$5:$I$204,"Não",$H$5:$H$204,"&lt;="&amp;TODAY()+7)+COUNTIFS($H$5:$H39,$H39,$I$5:$I39,"Não"),"")</f>
        <v/>
      </c>
      <c r="L39" s="1" t="n"/>
      <c r="M39" s="1" t="n"/>
    </row>
    <row r="40">
      <c r="A40" s="18" t="n">
        <v>46113</v>
      </c>
      <c r="B40" s="19" t="inlineStr">
        <is>
          <t>Notebook Dell — parcela 3/12</t>
        </is>
      </c>
      <c r="C40" s="19" t="inlineStr">
        <is>
          <t>Outros</t>
        </is>
      </c>
      <c r="D40" s="20" t="n">
        <v>300</v>
      </c>
      <c r="E40" s="19" t="inlineStr">
        <is>
          <t>Crédito</t>
        </is>
      </c>
      <c r="F40" s="21" t="inlineStr">
        <is>
          <t>Itaú</t>
        </is>
      </c>
      <c r="G40" s="21" t="inlineStr">
        <is>
          <t>12x</t>
        </is>
      </c>
      <c r="H40" s="18" t="n">
        <v>46145</v>
      </c>
      <c r="I40" s="21" t="inlineStr">
        <is>
          <t>Sim</t>
        </is>
      </c>
      <c r="J40" s="21" t="inlineStr">
        <is>
          <t>Itaú</t>
        </is>
      </c>
      <c r="K40" s="22">
        <f>IF(AND($I40="Não",$H40&lt;&gt;"",$H40&lt;=TODAY()+7),COUNTIFS($H$5:$H$204,"&lt;"&amp;$H40,$I$5:$I$204,"Não",$H$5:$H$204,"&lt;="&amp;TODAY()+7)+COUNTIFS($H$5:$H40,$H40,$I$5:$I40,"Não"),"")</f>
        <v/>
      </c>
      <c r="L40" s="1" t="n"/>
      <c r="M40" s="1" t="n"/>
    </row>
    <row r="41">
      <c r="A41" s="18" t="n">
        <v>46114</v>
      </c>
      <c r="B41" s="19" t="inlineStr">
        <is>
          <t>Curso online de inglês</t>
        </is>
      </c>
      <c r="C41" s="19" t="inlineStr">
        <is>
          <t>Educação</t>
        </is>
      </c>
      <c r="D41" s="20" t="n">
        <v>120</v>
      </c>
      <c r="E41" s="19" t="inlineStr">
        <is>
          <t>Crédito</t>
        </is>
      </c>
      <c r="F41" s="21" t="inlineStr">
        <is>
          <t>Nubank</t>
        </is>
      </c>
      <c r="G41" s="21" t="inlineStr"/>
      <c r="H41" s="18" t="n">
        <v>46147</v>
      </c>
      <c r="I41" s="21" t="inlineStr">
        <is>
          <t>Sim</t>
        </is>
      </c>
      <c r="J41" s="21" t="inlineStr">
        <is>
          <t>Nubank</t>
        </is>
      </c>
      <c r="K41" s="22">
        <f>IF(AND($I41="Não",$H41&lt;&gt;"",$H41&lt;=TODAY()+7),COUNTIFS($H$5:$H$204,"&lt;"&amp;$H41,$I$5:$I$204,"Não",$H$5:$H$204,"&lt;="&amp;TODAY()+7)+COUNTIFS($H$5:$H41,$H41,$I$5:$I41,"Não"),"")</f>
        <v/>
      </c>
      <c r="L41" s="1" t="n"/>
      <c r="M41" s="1" t="n"/>
    </row>
    <row r="42">
      <c r="A42" s="18" t="n">
        <v>46115</v>
      </c>
      <c r="B42" s="19" t="inlineStr">
        <is>
          <t>Energia elétrica</t>
        </is>
      </c>
      <c r="C42" s="19" t="inlineStr">
        <is>
          <t>Contas Fixas</t>
        </is>
      </c>
      <c r="D42" s="20" t="n">
        <v>150</v>
      </c>
      <c r="E42" s="19" t="inlineStr">
        <is>
          <t>Pix</t>
        </is>
      </c>
      <c r="F42" s="21" t="inlineStr"/>
      <c r="G42" s="21" t="inlineStr"/>
      <c r="H42" s="18" t="n">
        <v>46120</v>
      </c>
      <c r="I42" s="21" t="inlineStr">
        <is>
          <t>Sim</t>
        </is>
      </c>
      <c r="J42" s="21" t="inlineStr">
        <is>
          <t>Itaú</t>
        </is>
      </c>
      <c r="K42" s="22">
        <f>IF(AND($I42="Não",$H42&lt;&gt;"",$H42&lt;=TODAY()+7),COUNTIFS($H$5:$H$204,"&lt;"&amp;$H42,$I$5:$I$204,"Não",$H$5:$H$204,"&lt;="&amp;TODAY()+7)+COUNTIFS($H$5:$H42,$H42,$I$5:$I42,"Não"),"")</f>
        <v/>
      </c>
      <c r="L42" s="1" t="n"/>
      <c r="M42" s="1" t="n"/>
    </row>
    <row r="43">
      <c r="A43" s="18" t="n">
        <v>46116</v>
      </c>
      <c r="B43" s="19" t="inlineStr">
        <is>
          <t>Academia</t>
        </is>
      </c>
      <c r="C43" s="19" t="inlineStr">
        <is>
          <t>Saúde</t>
        </is>
      </c>
      <c r="D43" s="20" t="n">
        <v>90</v>
      </c>
      <c r="E43" s="19" t="inlineStr">
        <is>
          <t>Débito</t>
        </is>
      </c>
      <c r="F43" s="21" t="inlineStr"/>
      <c r="G43" s="21" t="inlineStr"/>
      <c r="H43" s="18" t="n">
        <v>46117</v>
      </c>
      <c r="I43" s="21" t="inlineStr">
        <is>
          <t>Sim</t>
        </is>
      </c>
      <c r="J43" s="21" t="inlineStr">
        <is>
          <t>Nubank</t>
        </is>
      </c>
      <c r="K43" s="22">
        <f>IF(AND($I43="Não",$H43&lt;&gt;"",$H43&lt;=TODAY()+7),COUNTIFS($H$5:$H$204,"&lt;"&amp;$H43,$I$5:$I$204,"Não",$H$5:$H$204,"&lt;="&amp;TODAY()+7)+COUNTIFS($H$5:$H43,$H43,$I$5:$I43,"Não"),"")</f>
        <v/>
      </c>
      <c r="L43" s="1" t="n"/>
      <c r="M43" s="1" t="n"/>
    </row>
    <row r="44">
      <c r="A44" s="18" t="n">
        <v>46118</v>
      </c>
      <c r="B44" s="19" t="inlineStr">
        <is>
          <t>Streaming (Netflix + Spotify)</t>
        </is>
      </c>
      <c r="C44" s="19" t="inlineStr">
        <is>
          <t>Assinaturas</t>
        </is>
      </c>
      <c r="D44" s="20" t="n">
        <v>55</v>
      </c>
      <c r="E44" s="19" t="inlineStr">
        <is>
          <t>Crédito</t>
        </is>
      </c>
      <c r="F44" s="21" t="inlineStr">
        <is>
          <t>Nubank</t>
        </is>
      </c>
      <c r="G44" s="21" t="inlineStr"/>
      <c r="H44" s="18" t="n">
        <v>46147</v>
      </c>
      <c r="I44" s="21" t="inlineStr">
        <is>
          <t>Sim</t>
        </is>
      </c>
      <c r="J44" s="21" t="inlineStr">
        <is>
          <t>Nubank</t>
        </is>
      </c>
      <c r="K44" s="22">
        <f>IF(AND($I44="Não",$H44&lt;&gt;"",$H44&lt;=TODAY()+7),COUNTIFS($H$5:$H$204,"&lt;"&amp;$H44,$I$5:$I$204,"Não",$H$5:$H$204,"&lt;="&amp;TODAY()+7)+COUNTIFS($H$5:$H44,$H44,$I$5:$I44,"Não"),"")</f>
        <v/>
      </c>
      <c r="L44" s="1" t="n"/>
      <c r="M44" s="1" t="n"/>
    </row>
    <row r="45">
      <c r="A45" s="18" t="n">
        <v>46118</v>
      </c>
      <c r="B45" s="19" t="inlineStr">
        <is>
          <t>Aporte em investimentos</t>
        </is>
      </c>
      <c r="C45" s="19" t="inlineStr">
        <is>
          <t>Investimentos</t>
        </is>
      </c>
      <c r="D45" s="20" t="n">
        <v>500</v>
      </c>
      <c r="E45" s="19" t="inlineStr">
        <is>
          <t>Transferência</t>
        </is>
      </c>
      <c r="F45" s="21" t="inlineStr"/>
      <c r="G45" s="21" t="inlineStr"/>
      <c r="H45" s="18" t="n">
        <v>46118</v>
      </c>
      <c r="I45" s="21" t="inlineStr">
        <is>
          <t>Sim</t>
        </is>
      </c>
      <c r="J45" s="21" t="inlineStr">
        <is>
          <t>Itaú</t>
        </is>
      </c>
      <c r="K45" s="22">
        <f>IF(AND($I45="Não",$H45&lt;&gt;"",$H45&lt;=TODAY()+7),COUNTIFS($H$5:$H$204,"&lt;"&amp;$H45,$I$5:$I$204,"Não",$H$5:$H$204,"&lt;="&amp;TODAY()+7)+COUNTIFS($H$5:$H45,$H45,$I$5:$I45,"Não"),"")</f>
        <v/>
      </c>
      <c r="L45" s="1" t="n"/>
      <c r="M45" s="1" t="n"/>
    </row>
    <row r="46">
      <c r="A46" s="18" t="n">
        <v>46120</v>
      </c>
      <c r="B46" s="19" t="inlineStr">
        <is>
          <t>Aluguel + condomínio</t>
        </is>
      </c>
      <c r="C46" s="19" t="inlineStr">
        <is>
          <t>Moradia</t>
        </is>
      </c>
      <c r="D46" s="20" t="n">
        <v>1500</v>
      </c>
      <c r="E46" s="19" t="inlineStr">
        <is>
          <t>Boleto</t>
        </is>
      </c>
      <c r="F46" s="21" t="inlineStr"/>
      <c r="G46" s="21" t="inlineStr"/>
      <c r="H46" s="18" t="n">
        <v>46122</v>
      </c>
      <c r="I46" s="21" t="inlineStr">
        <is>
          <t>Sim</t>
        </is>
      </c>
      <c r="J46" s="21" t="inlineStr">
        <is>
          <t>Itaú</t>
        </is>
      </c>
      <c r="K46" s="22">
        <f>IF(AND($I46="Não",$H46&lt;&gt;"",$H46&lt;=TODAY()+7),COUNTIFS($H$5:$H$204,"&lt;"&amp;$H46,$I$5:$I$204,"Não",$H$5:$H$204,"&lt;="&amp;TODAY()+7)+COUNTIFS($H$5:$H46,$H46,$I$5:$I46,"Não"),"")</f>
        <v/>
      </c>
      <c r="L46" s="1" t="n"/>
      <c r="M46" s="1" t="n"/>
    </row>
    <row r="47">
      <c r="A47" s="18" t="n">
        <v>46122</v>
      </c>
      <c r="B47" s="19" t="inlineStr">
        <is>
          <t>Plano de celular</t>
        </is>
      </c>
      <c r="C47" s="19" t="inlineStr">
        <is>
          <t>Contas Fixas</t>
        </is>
      </c>
      <c r="D47" s="20" t="n">
        <v>60</v>
      </c>
      <c r="E47" s="19" t="inlineStr">
        <is>
          <t>Débito</t>
        </is>
      </c>
      <c r="F47" s="21" t="inlineStr"/>
      <c r="G47" s="21" t="inlineStr"/>
      <c r="H47" s="18" t="n">
        <v>46124</v>
      </c>
      <c r="I47" s="21" t="inlineStr">
        <is>
          <t>Sim</t>
        </is>
      </c>
      <c r="J47" s="21" t="inlineStr">
        <is>
          <t>Nubank</t>
        </is>
      </c>
      <c r="K47" s="22">
        <f>IF(AND($I47="Não",$H47&lt;&gt;"",$H47&lt;=TODAY()+7),COUNTIFS($H$5:$H$204,"&lt;"&amp;$H47,$I$5:$I$204,"Não",$H$5:$H$204,"&lt;="&amp;TODAY()+7)+COUNTIFS($H$5:$H47,$H47,$I$5:$I47,"Não"),"")</f>
        <v/>
      </c>
      <c r="L47" s="1" t="n"/>
      <c r="M47" s="1" t="n"/>
    </row>
    <row r="48">
      <c r="A48" s="18" t="n">
        <v>46124</v>
      </c>
      <c r="B48" s="19" t="inlineStr">
        <is>
          <t>Supermercado do mês</t>
        </is>
      </c>
      <c r="C48" s="19" t="inlineStr">
        <is>
          <t>Alimentação</t>
        </is>
      </c>
      <c r="D48" s="20" t="n">
        <v>650</v>
      </c>
      <c r="E48" s="19" t="inlineStr">
        <is>
          <t>Crédito</t>
        </is>
      </c>
      <c r="F48" s="21" t="inlineStr">
        <is>
          <t>Nubank</t>
        </is>
      </c>
      <c r="G48" s="21" t="inlineStr"/>
      <c r="H48" s="18" t="n">
        <v>46147</v>
      </c>
      <c r="I48" s="21" t="inlineStr">
        <is>
          <t>Sim</t>
        </is>
      </c>
      <c r="J48" s="21" t="inlineStr">
        <is>
          <t>Nubank</t>
        </is>
      </c>
      <c r="K48" s="22">
        <f>IF(AND($I48="Não",$H48&lt;&gt;"",$H48&lt;=TODAY()+7),COUNTIFS($H$5:$H$204,"&lt;"&amp;$H48,$I$5:$I$204,"Não",$H$5:$H$204,"&lt;="&amp;TODAY()+7)+COUNTIFS($H$5:$H48,$H48,$I$5:$I48,"Não"),"")</f>
        <v/>
      </c>
      <c r="L48" s="1" t="n"/>
      <c r="M48" s="1" t="n"/>
    </row>
    <row r="49">
      <c r="A49" s="18" t="n">
        <v>46125</v>
      </c>
      <c r="B49" s="19" t="inlineStr">
        <is>
          <t>Internet fibra</t>
        </is>
      </c>
      <c r="C49" s="19" t="inlineStr">
        <is>
          <t>Contas Fixas</t>
        </is>
      </c>
      <c r="D49" s="20" t="n">
        <v>100</v>
      </c>
      <c r="E49" s="19" t="inlineStr">
        <is>
          <t>Débito</t>
        </is>
      </c>
      <c r="F49" s="21" t="inlineStr"/>
      <c r="G49" s="21" t="inlineStr"/>
      <c r="H49" s="18" t="n">
        <v>46127</v>
      </c>
      <c r="I49" s="21" t="inlineStr">
        <is>
          <t>Sim</t>
        </is>
      </c>
      <c r="J49" s="21" t="inlineStr">
        <is>
          <t>Itaú</t>
        </is>
      </c>
      <c r="K49" s="22">
        <f>IF(AND($I49="Não",$H49&lt;&gt;"",$H49&lt;=TODAY()+7),COUNTIFS($H$5:$H$204,"&lt;"&amp;$H49,$I$5:$I$204,"Não",$H$5:$H$204,"&lt;="&amp;TODAY()+7)+COUNTIFS($H$5:$H49,$H49,$I$5:$I49,"Não"),"")</f>
        <v/>
      </c>
      <c r="L49" s="1" t="n"/>
      <c r="M49" s="1" t="n"/>
    </row>
    <row r="50">
      <c r="A50" s="18" t="n">
        <v>46128</v>
      </c>
      <c r="B50" s="19" t="inlineStr">
        <is>
          <t>Combustível</t>
        </is>
      </c>
      <c r="C50" s="19" t="inlineStr">
        <is>
          <t>Transporte</t>
        </is>
      </c>
      <c r="D50" s="20" t="n">
        <v>230</v>
      </c>
      <c r="E50" s="19" t="inlineStr">
        <is>
          <t>Crédito</t>
        </is>
      </c>
      <c r="F50" s="21" t="inlineStr">
        <is>
          <t>Itaú</t>
        </is>
      </c>
      <c r="G50" s="21" t="inlineStr"/>
      <c r="H50" s="18" t="n">
        <v>46145</v>
      </c>
      <c r="I50" s="21" t="inlineStr">
        <is>
          <t>Sim</t>
        </is>
      </c>
      <c r="J50" s="21" t="inlineStr">
        <is>
          <t>Itaú</t>
        </is>
      </c>
      <c r="K50" s="22">
        <f>IF(AND($I50="Não",$H50&lt;&gt;"",$H50&lt;=TODAY()+7),COUNTIFS($H$5:$H$204,"&lt;"&amp;$H50,$I$5:$I$204,"Não",$H$5:$H$204,"&lt;="&amp;TODAY()+7)+COUNTIFS($H$5:$H50,$H50,$I$5:$I50,"Não"),"")</f>
        <v/>
      </c>
      <c r="L50" s="1" t="n"/>
      <c r="M50" s="1" t="n"/>
    </row>
    <row r="51">
      <c r="A51" s="18" t="n">
        <v>46134</v>
      </c>
      <c r="B51" s="19" t="inlineStr">
        <is>
          <t>Restaurantes e delivery</t>
        </is>
      </c>
      <c r="C51" s="19" t="inlineStr">
        <is>
          <t>Lazer</t>
        </is>
      </c>
      <c r="D51" s="20" t="n">
        <v>240</v>
      </c>
      <c r="E51" s="19" t="inlineStr">
        <is>
          <t>Crédito</t>
        </is>
      </c>
      <c r="F51" s="21" t="inlineStr">
        <is>
          <t>Nubank</t>
        </is>
      </c>
      <c r="G51" s="21" t="inlineStr"/>
      <c r="H51" s="18" t="n">
        <v>46147</v>
      </c>
      <c r="I51" s="21" t="inlineStr">
        <is>
          <t>Sim</t>
        </is>
      </c>
      <c r="J51" s="21" t="inlineStr">
        <is>
          <t>Nubank</t>
        </is>
      </c>
      <c r="K51" s="22">
        <f>IF(AND($I51="Não",$H51&lt;&gt;"",$H51&lt;=TODAY()+7),COUNTIFS($H$5:$H$204,"&lt;"&amp;$H51,$I$5:$I$204,"Não",$H$5:$H$204,"&lt;="&amp;TODAY()+7)+COUNTIFS($H$5:$H51,$H51,$I$5:$I51,"Não"),"")</f>
        <v/>
      </c>
      <c r="L51" s="1" t="n"/>
      <c r="M51" s="1" t="n"/>
    </row>
    <row r="52">
      <c r="A52" s="18" t="n">
        <v>46143</v>
      </c>
      <c r="B52" s="19" t="inlineStr">
        <is>
          <t>Notebook Dell — parcela 4/12</t>
        </is>
      </c>
      <c r="C52" s="19" t="inlineStr">
        <is>
          <t>Outros</t>
        </is>
      </c>
      <c r="D52" s="20" t="n">
        <v>300</v>
      </c>
      <c r="E52" s="19" t="inlineStr">
        <is>
          <t>Crédito</t>
        </is>
      </c>
      <c r="F52" s="21" t="inlineStr">
        <is>
          <t>Itaú</t>
        </is>
      </c>
      <c r="G52" s="21" t="inlineStr">
        <is>
          <t>12x</t>
        </is>
      </c>
      <c r="H52" s="18" t="n">
        <v>46176</v>
      </c>
      <c r="I52" s="21" t="inlineStr">
        <is>
          <t>Sim</t>
        </is>
      </c>
      <c r="J52" s="21" t="inlineStr">
        <is>
          <t>Itaú</t>
        </is>
      </c>
      <c r="K52" s="22">
        <f>IF(AND($I52="Não",$H52&lt;&gt;"",$H52&lt;=TODAY()+7),COUNTIFS($H$5:$H$204,"&lt;"&amp;$H52,$I$5:$I$204,"Não",$H$5:$H$204,"&lt;="&amp;TODAY()+7)+COUNTIFS($H$5:$H52,$H52,$I$5:$I52,"Não"),"")</f>
        <v/>
      </c>
      <c r="L52" s="1" t="n"/>
      <c r="M52" s="1" t="n"/>
    </row>
    <row r="53">
      <c r="A53" s="18" t="n">
        <v>46144</v>
      </c>
      <c r="B53" s="19" t="inlineStr">
        <is>
          <t>Smartphone — parcela 1/10</t>
        </is>
      </c>
      <c r="C53" s="19" t="inlineStr">
        <is>
          <t>Outros</t>
        </is>
      </c>
      <c r="D53" s="20" t="n">
        <v>240</v>
      </c>
      <c r="E53" s="19" t="inlineStr">
        <is>
          <t>Crédito</t>
        </is>
      </c>
      <c r="F53" s="21" t="inlineStr">
        <is>
          <t>Nubank</t>
        </is>
      </c>
      <c r="G53" s="21" t="inlineStr">
        <is>
          <t>10x</t>
        </is>
      </c>
      <c r="H53" s="18" t="n">
        <v>46178</v>
      </c>
      <c r="I53" s="21" t="inlineStr">
        <is>
          <t>Sim</t>
        </is>
      </c>
      <c r="J53" s="21" t="inlineStr">
        <is>
          <t>Nubank</t>
        </is>
      </c>
      <c r="K53" s="22">
        <f>IF(AND($I53="Não",$H53&lt;&gt;"",$H53&lt;=TODAY()+7),COUNTIFS($H$5:$H$204,"&lt;"&amp;$H53,$I$5:$I$204,"Não",$H$5:$H$204,"&lt;="&amp;TODAY()+7)+COUNTIFS($H$5:$H53,$H53,$I$5:$I53,"Não"),"")</f>
        <v/>
      </c>
      <c r="L53" s="1" t="n"/>
      <c r="M53" s="1" t="n"/>
    </row>
    <row r="54">
      <c r="A54" s="18" t="n">
        <v>46145</v>
      </c>
      <c r="B54" s="19" t="inlineStr">
        <is>
          <t>Energia elétrica</t>
        </is>
      </c>
      <c r="C54" s="19" t="inlineStr">
        <is>
          <t>Contas Fixas</t>
        </is>
      </c>
      <c r="D54" s="20" t="n">
        <v>140</v>
      </c>
      <c r="E54" s="19" t="inlineStr">
        <is>
          <t>Pix</t>
        </is>
      </c>
      <c r="F54" s="21" t="inlineStr"/>
      <c r="G54" s="21" t="inlineStr"/>
      <c r="H54" s="18" t="n">
        <v>46150</v>
      </c>
      <c r="I54" s="21" t="inlineStr">
        <is>
          <t>Sim</t>
        </is>
      </c>
      <c r="J54" s="21" t="inlineStr">
        <is>
          <t>Itaú</t>
        </is>
      </c>
      <c r="K54" s="22">
        <f>IF(AND($I54="Não",$H54&lt;&gt;"",$H54&lt;=TODAY()+7),COUNTIFS($H$5:$H$204,"&lt;"&amp;$H54,$I$5:$I$204,"Não",$H$5:$H$204,"&lt;="&amp;TODAY()+7)+COUNTIFS($H$5:$H54,$H54,$I$5:$I54,"Não"),"")</f>
        <v/>
      </c>
      <c r="L54" s="1" t="n"/>
      <c r="M54" s="1" t="n"/>
    </row>
    <row r="55">
      <c r="A55" s="18" t="n">
        <v>46146</v>
      </c>
      <c r="B55" s="19" t="inlineStr">
        <is>
          <t>Academia</t>
        </is>
      </c>
      <c r="C55" s="19" t="inlineStr">
        <is>
          <t>Saúde</t>
        </is>
      </c>
      <c r="D55" s="20" t="n">
        <v>90</v>
      </c>
      <c r="E55" s="19" t="inlineStr">
        <is>
          <t>Débito</t>
        </is>
      </c>
      <c r="F55" s="21" t="inlineStr"/>
      <c r="G55" s="21" t="inlineStr"/>
      <c r="H55" s="18" t="n">
        <v>46147</v>
      </c>
      <c r="I55" s="21" t="inlineStr">
        <is>
          <t>Sim</t>
        </is>
      </c>
      <c r="J55" s="21" t="inlineStr">
        <is>
          <t>Nubank</t>
        </is>
      </c>
      <c r="K55" s="22">
        <f>IF(AND($I55="Não",$H55&lt;&gt;"",$H55&lt;=TODAY()+7),COUNTIFS($H$5:$H$204,"&lt;"&amp;$H55,$I$5:$I$204,"Não",$H$5:$H$204,"&lt;="&amp;TODAY()+7)+COUNTIFS($H$5:$H55,$H55,$I$5:$I55,"Não"),"")</f>
        <v/>
      </c>
      <c r="L55" s="1" t="n"/>
      <c r="M55" s="1" t="n"/>
    </row>
    <row r="56">
      <c r="A56" s="18" t="n">
        <v>46148</v>
      </c>
      <c r="B56" s="19" t="inlineStr">
        <is>
          <t>Streaming (Netflix + Spotify)</t>
        </is>
      </c>
      <c r="C56" s="19" t="inlineStr">
        <is>
          <t>Assinaturas</t>
        </is>
      </c>
      <c r="D56" s="20" t="n">
        <v>55</v>
      </c>
      <c r="E56" s="19" t="inlineStr">
        <is>
          <t>Crédito</t>
        </is>
      </c>
      <c r="F56" s="21" t="inlineStr">
        <is>
          <t>Nubank</t>
        </is>
      </c>
      <c r="G56" s="21" t="inlineStr"/>
      <c r="H56" s="18" t="n">
        <v>46178</v>
      </c>
      <c r="I56" s="21" t="inlineStr">
        <is>
          <t>Sim</t>
        </is>
      </c>
      <c r="J56" s="21" t="inlineStr">
        <is>
          <t>Nubank</t>
        </is>
      </c>
      <c r="K56" s="22">
        <f>IF(AND($I56="Não",$H56&lt;&gt;"",$H56&lt;=TODAY()+7),COUNTIFS($H$5:$H$204,"&lt;"&amp;$H56,$I$5:$I$204,"Não",$H$5:$H$204,"&lt;="&amp;TODAY()+7)+COUNTIFS($H$5:$H56,$H56,$I$5:$I56,"Não"),"")</f>
        <v/>
      </c>
      <c r="L56" s="1" t="n"/>
      <c r="M56" s="1" t="n"/>
    </row>
    <row r="57">
      <c r="A57" s="18" t="n">
        <v>46148</v>
      </c>
      <c r="B57" s="19" t="inlineStr">
        <is>
          <t>Aporte em investimentos</t>
        </is>
      </c>
      <c r="C57" s="19" t="inlineStr">
        <is>
          <t>Investimentos</t>
        </is>
      </c>
      <c r="D57" s="20" t="n">
        <v>500</v>
      </c>
      <c r="E57" s="19" t="inlineStr">
        <is>
          <t>Transferência</t>
        </is>
      </c>
      <c r="F57" s="21" t="inlineStr"/>
      <c r="G57" s="21" t="inlineStr"/>
      <c r="H57" s="18" t="n">
        <v>46148</v>
      </c>
      <c r="I57" s="21" t="inlineStr">
        <is>
          <t>Sim</t>
        </is>
      </c>
      <c r="J57" s="21" t="inlineStr">
        <is>
          <t>Itaú</t>
        </is>
      </c>
      <c r="K57" s="22">
        <f>IF(AND($I57="Não",$H57&lt;&gt;"",$H57&lt;=TODAY()+7),COUNTIFS($H$5:$H$204,"&lt;"&amp;$H57,$I$5:$I$204,"Não",$H$5:$H$204,"&lt;="&amp;TODAY()+7)+COUNTIFS($H$5:$H57,$H57,$I$5:$I57,"Não"),"")</f>
        <v/>
      </c>
      <c r="L57" s="1" t="n"/>
      <c r="M57" s="1" t="n"/>
    </row>
    <row r="58">
      <c r="A58" s="18" t="n">
        <v>46150</v>
      </c>
      <c r="B58" s="19" t="inlineStr">
        <is>
          <t>Aluguel + condomínio</t>
        </is>
      </c>
      <c r="C58" s="19" t="inlineStr">
        <is>
          <t>Moradia</t>
        </is>
      </c>
      <c r="D58" s="20" t="n">
        <v>1500</v>
      </c>
      <c r="E58" s="19" t="inlineStr">
        <is>
          <t>Boleto</t>
        </is>
      </c>
      <c r="F58" s="21" t="inlineStr"/>
      <c r="G58" s="21" t="inlineStr"/>
      <c r="H58" s="18" t="n">
        <v>46152</v>
      </c>
      <c r="I58" s="21" t="inlineStr">
        <is>
          <t>Sim</t>
        </is>
      </c>
      <c r="J58" s="21" t="inlineStr">
        <is>
          <t>Itaú</t>
        </is>
      </c>
      <c r="K58" s="22">
        <f>IF(AND($I58="Não",$H58&lt;&gt;"",$H58&lt;=TODAY()+7),COUNTIFS($H$5:$H$204,"&lt;"&amp;$H58,$I$5:$I$204,"Não",$H$5:$H$204,"&lt;="&amp;TODAY()+7)+COUNTIFS($H$5:$H58,$H58,$I$5:$I58,"Não"),"")</f>
        <v/>
      </c>
      <c r="L58" s="1" t="n"/>
      <c r="M58" s="1" t="n"/>
    </row>
    <row r="59">
      <c r="A59" s="18" t="n">
        <v>46152</v>
      </c>
      <c r="B59" s="19" t="inlineStr">
        <is>
          <t>Plano de celular</t>
        </is>
      </c>
      <c r="C59" s="19" t="inlineStr">
        <is>
          <t>Contas Fixas</t>
        </is>
      </c>
      <c r="D59" s="20" t="n">
        <v>60</v>
      </c>
      <c r="E59" s="19" t="inlineStr">
        <is>
          <t>Débito</t>
        </is>
      </c>
      <c r="F59" s="21" t="inlineStr"/>
      <c r="G59" s="21" t="inlineStr"/>
      <c r="H59" s="18" t="n">
        <v>46154</v>
      </c>
      <c r="I59" s="21" t="inlineStr">
        <is>
          <t>Sim</t>
        </is>
      </c>
      <c r="J59" s="21" t="inlineStr">
        <is>
          <t>Nubank</t>
        </is>
      </c>
      <c r="K59" s="22">
        <f>IF(AND($I59="Não",$H59&lt;&gt;"",$H59&lt;=TODAY()+7),COUNTIFS($H$5:$H$204,"&lt;"&amp;$H59,$I$5:$I$204,"Não",$H$5:$H$204,"&lt;="&amp;TODAY()+7)+COUNTIFS($H$5:$H59,$H59,$I$5:$I59,"Não"),"")</f>
        <v/>
      </c>
      <c r="L59" s="1" t="n"/>
      <c r="M59" s="1" t="n"/>
    </row>
    <row r="60">
      <c r="A60" s="18" t="n">
        <v>46154</v>
      </c>
      <c r="B60" s="19" t="inlineStr">
        <is>
          <t>Supermercado do mês</t>
        </is>
      </c>
      <c r="C60" s="19" t="inlineStr">
        <is>
          <t>Alimentação</t>
        </is>
      </c>
      <c r="D60" s="20" t="n">
        <v>690</v>
      </c>
      <c r="E60" s="19" t="inlineStr">
        <is>
          <t>Crédito</t>
        </is>
      </c>
      <c r="F60" s="21" t="inlineStr">
        <is>
          <t>Nubank</t>
        </is>
      </c>
      <c r="G60" s="21" t="inlineStr"/>
      <c r="H60" s="18" t="n">
        <v>46178</v>
      </c>
      <c r="I60" s="21" t="inlineStr">
        <is>
          <t>Sim</t>
        </is>
      </c>
      <c r="J60" s="21" t="inlineStr">
        <is>
          <t>Nubank</t>
        </is>
      </c>
      <c r="K60" s="22">
        <f>IF(AND($I60="Não",$H60&lt;&gt;"",$H60&lt;=TODAY()+7),COUNTIFS($H$5:$H$204,"&lt;"&amp;$H60,$I$5:$I$204,"Não",$H$5:$H$204,"&lt;="&amp;TODAY()+7)+COUNTIFS($H$5:$H60,$H60,$I$5:$I60,"Não"),"")</f>
        <v/>
      </c>
      <c r="L60" s="1" t="n"/>
      <c r="M60" s="1" t="n"/>
    </row>
    <row r="61">
      <c r="A61" s="18" t="n">
        <v>46155</v>
      </c>
      <c r="B61" s="19" t="inlineStr">
        <is>
          <t>Internet fibra</t>
        </is>
      </c>
      <c r="C61" s="19" t="inlineStr">
        <is>
          <t>Contas Fixas</t>
        </is>
      </c>
      <c r="D61" s="20" t="n">
        <v>100</v>
      </c>
      <c r="E61" s="19" t="inlineStr">
        <is>
          <t>Débito</t>
        </is>
      </c>
      <c r="F61" s="21" t="inlineStr"/>
      <c r="G61" s="21" t="inlineStr"/>
      <c r="H61" s="18" t="n">
        <v>46157</v>
      </c>
      <c r="I61" s="21" t="inlineStr">
        <is>
          <t>Sim</t>
        </is>
      </c>
      <c r="J61" s="21" t="inlineStr">
        <is>
          <t>Itaú</t>
        </is>
      </c>
      <c r="K61" s="22">
        <f>IF(AND($I61="Não",$H61&lt;&gt;"",$H61&lt;=TODAY()+7),COUNTIFS($H$5:$H$204,"&lt;"&amp;$H61,$I$5:$I$204,"Não",$H$5:$H$204,"&lt;="&amp;TODAY()+7)+COUNTIFS($H$5:$H61,$H61,$I$5:$I61,"Não"),"")</f>
        <v/>
      </c>
      <c r="L61" s="1" t="n"/>
      <c r="M61" s="1" t="n"/>
    </row>
    <row r="62">
      <c r="A62" s="18" t="n">
        <v>46158</v>
      </c>
      <c r="B62" s="19" t="inlineStr">
        <is>
          <t>Combustível</t>
        </is>
      </c>
      <c r="C62" s="19" t="inlineStr">
        <is>
          <t>Transporte</t>
        </is>
      </c>
      <c r="D62" s="20" t="n">
        <v>250</v>
      </c>
      <c r="E62" s="19" t="inlineStr">
        <is>
          <t>Crédito</t>
        </is>
      </c>
      <c r="F62" s="21" t="inlineStr">
        <is>
          <t>Itaú</t>
        </is>
      </c>
      <c r="G62" s="21" t="inlineStr"/>
      <c r="H62" s="18" t="n">
        <v>46176</v>
      </c>
      <c r="I62" s="21" t="inlineStr">
        <is>
          <t>Sim</t>
        </is>
      </c>
      <c r="J62" s="21" t="inlineStr">
        <is>
          <t>Itaú</t>
        </is>
      </c>
      <c r="K62" s="22">
        <f>IF(AND($I62="Não",$H62&lt;&gt;"",$H62&lt;=TODAY()+7),COUNTIFS($H$5:$H$204,"&lt;"&amp;$H62,$I$5:$I$204,"Não",$H$5:$H$204,"&lt;="&amp;TODAY()+7)+COUNTIFS($H$5:$H62,$H62,$I$5:$I62,"Não"),"")</f>
        <v/>
      </c>
      <c r="L62" s="1" t="n"/>
      <c r="M62" s="1" t="n"/>
    </row>
    <row r="63">
      <c r="A63" s="18" t="n">
        <v>46164</v>
      </c>
      <c r="B63" s="19" t="inlineStr">
        <is>
          <t>Restaurantes e delivery</t>
        </is>
      </c>
      <c r="C63" s="19" t="inlineStr">
        <is>
          <t>Lazer</t>
        </is>
      </c>
      <c r="D63" s="20" t="n">
        <v>190</v>
      </c>
      <c r="E63" s="19" t="inlineStr">
        <is>
          <t>Crédito</t>
        </is>
      </c>
      <c r="F63" s="21" t="inlineStr">
        <is>
          <t>Nubank</t>
        </is>
      </c>
      <c r="G63" s="21" t="inlineStr"/>
      <c r="H63" s="18" t="n">
        <v>46178</v>
      </c>
      <c r="I63" s="21" t="inlineStr">
        <is>
          <t>Sim</t>
        </is>
      </c>
      <c r="J63" s="21" t="inlineStr">
        <is>
          <t>Nubank</t>
        </is>
      </c>
      <c r="K63" s="22">
        <f>IF(AND($I63="Não",$H63&lt;&gt;"",$H63&lt;=TODAY()+7),COUNTIFS($H$5:$H$204,"&lt;"&amp;$H63,$I$5:$I$204,"Não",$H$5:$H$204,"&lt;="&amp;TODAY()+7)+COUNTIFS($H$5:$H63,$H63,$I$5:$I63,"Não"),"")</f>
        <v/>
      </c>
      <c r="L63" s="1" t="n"/>
      <c r="M63" s="1" t="n"/>
    </row>
    <row r="64">
      <c r="A64" s="18" t="n">
        <v>46167</v>
      </c>
      <c r="B64" s="19" t="inlineStr">
        <is>
          <t>Tênis de corrida</t>
        </is>
      </c>
      <c r="C64" s="19" t="inlineStr">
        <is>
          <t>Vestuário</t>
        </is>
      </c>
      <c r="D64" s="20" t="n">
        <v>220</v>
      </c>
      <c r="E64" s="19" t="inlineStr">
        <is>
          <t>Crédito</t>
        </is>
      </c>
      <c r="F64" s="21" t="inlineStr">
        <is>
          <t>Inter</t>
        </is>
      </c>
      <c r="G64" s="21" t="inlineStr"/>
      <c r="H64" s="18" t="n">
        <v>46200</v>
      </c>
      <c r="I64" s="21" t="inlineStr">
        <is>
          <t>Sim</t>
        </is>
      </c>
      <c r="J64" s="21" t="inlineStr">
        <is>
          <t>Inter</t>
        </is>
      </c>
      <c r="K64" s="22">
        <f>IF(AND($I64="Não",$H64&lt;&gt;"",$H64&lt;=TODAY()+7),COUNTIFS($H$5:$H$204,"&lt;"&amp;$H64,$I$5:$I$204,"Não",$H$5:$H$204,"&lt;="&amp;TODAY()+7)+COUNTIFS($H$5:$H64,$H64,$I$5:$I64,"Não"),"")</f>
        <v/>
      </c>
      <c r="L64" s="1" t="n"/>
      <c r="M64" s="1" t="n"/>
    </row>
    <row r="65">
      <c r="A65" s="18" t="n">
        <v>46174</v>
      </c>
      <c r="B65" s="19" t="inlineStr">
        <is>
          <t>Notebook Dell — parcela 5/12</t>
        </is>
      </c>
      <c r="C65" s="19" t="inlineStr">
        <is>
          <t>Outros</t>
        </is>
      </c>
      <c r="D65" s="20" t="n">
        <v>300</v>
      </c>
      <c r="E65" s="19" t="inlineStr">
        <is>
          <t>Crédito</t>
        </is>
      </c>
      <c r="F65" s="21" t="inlineStr">
        <is>
          <t>Itaú</t>
        </is>
      </c>
      <c r="G65" s="21" t="inlineStr">
        <is>
          <t>12x</t>
        </is>
      </c>
      <c r="H65" s="18" t="n">
        <v>46206</v>
      </c>
      <c r="I65" s="21" t="inlineStr">
        <is>
          <t>Sim</t>
        </is>
      </c>
      <c r="J65" s="21" t="inlineStr">
        <is>
          <t>Itaú</t>
        </is>
      </c>
      <c r="K65" s="22">
        <f>IF(AND($I65="Não",$H65&lt;&gt;"",$H65&lt;=TODAY()+7),COUNTIFS($H$5:$H$204,"&lt;"&amp;$H65,$I$5:$I$204,"Não",$H$5:$H$204,"&lt;="&amp;TODAY()+7)+COUNTIFS($H$5:$H65,$H65,$I$5:$I65,"Não"),"")</f>
        <v/>
      </c>
      <c r="L65" s="1" t="n"/>
      <c r="M65" s="1" t="n"/>
    </row>
    <row r="66">
      <c r="A66" s="18" t="n">
        <v>46175</v>
      </c>
      <c r="B66" s="19" t="inlineStr">
        <is>
          <t>Smartphone — parcela 2/10</t>
        </is>
      </c>
      <c r="C66" s="19" t="inlineStr">
        <is>
          <t>Outros</t>
        </is>
      </c>
      <c r="D66" s="20" t="n">
        <v>240</v>
      </c>
      <c r="E66" s="19" t="inlineStr">
        <is>
          <t>Crédito</t>
        </is>
      </c>
      <c r="F66" s="21" t="inlineStr">
        <is>
          <t>Nubank</t>
        </is>
      </c>
      <c r="G66" s="21" t="inlineStr">
        <is>
          <t>10x</t>
        </is>
      </c>
      <c r="H66" s="18" t="n">
        <v>46208</v>
      </c>
      <c r="I66" s="21" t="inlineStr">
        <is>
          <t>Sim</t>
        </is>
      </c>
      <c r="J66" s="21" t="inlineStr">
        <is>
          <t>Nubank</t>
        </is>
      </c>
      <c r="K66" s="22">
        <f>IF(AND($I66="Não",$H66&lt;&gt;"",$H66&lt;=TODAY()+7),COUNTIFS($H$5:$H$204,"&lt;"&amp;$H66,$I$5:$I$204,"Não",$H$5:$H$204,"&lt;="&amp;TODAY()+7)+COUNTIFS($H$5:$H66,$H66,$I$5:$I66,"Não"),"")</f>
        <v/>
      </c>
      <c r="L66" s="1" t="n"/>
      <c r="M66" s="1" t="n"/>
    </row>
    <row r="67">
      <c r="A67" s="18" t="n">
        <v>46176</v>
      </c>
      <c r="B67" s="19" t="inlineStr">
        <is>
          <t>Energia elétrica</t>
        </is>
      </c>
      <c r="C67" s="19" t="inlineStr">
        <is>
          <t>Contas Fixas</t>
        </is>
      </c>
      <c r="D67" s="20" t="n">
        <v>135</v>
      </c>
      <c r="E67" s="19" t="inlineStr">
        <is>
          <t>Pix</t>
        </is>
      </c>
      <c r="F67" s="21" t="inlineStr"/>
      <c r="G67" s="21" t="inlineStr"/>
      <c r="H67" s="18" t="n">
        <v>46181</v>
      </c>
      <c r="I67" s="21" t="inlineStr">
        <is>
          <t>Sim</t>
        </is>
      </c>
      <c r="J67" s="21" t="inlineStr">
        <is>
          <t>Itaú</t>
        </is>
      </c>
      <c r="K67" s="22">
        <f>IF(AND($I67="Não",$H67&lt;&gt;"",$H67&lt;=TODAY()+7),COUNTIFS($H$5:$H$204,"&lt;"&amp;$H67,$I$5:$I$204,"Não",$H$5:$H$204,"&lt;="&amp;TODAY()+7)+COUNTIFS($H$5:$H67,$H67,$I$5:$I67,"Não"),"")</f>
        <v/>
      </c>
      <c r="L67" s="1" t="n"/>
      <c r="M67" s="1" t="n"/>
    </row>
    <row r="68">
      <c r="A68" s="18" t="n">
        <v>46177</v>
      </c>
      <c r="B68" s="19" t="inlineStr">
        <is>
          <t>Academia</t>
        </is>
      </c>
      <c r="C68" s="19" t="inlineStr">
        <is>
          <t>Saúde</t>
        </is>
      </c>
      <c r="D68" s="20" t="n">
        <v>90</v>
      </c>
      <c r="E68" s="19" t="inlineStr">
        <is>
          <t>Débito</t>
        </is>
      </c>
      <c r="F68" s="21" t="inlineStr"/>
      <c r="G68" s="21" t="inlineStr"/>
      <c r="H68" s="18" t="n">
        <v>46178</v>
      </c>
      <c r="I68" s="21" t="inlineStr">
        <is>
          <t>Sim</t>
        </is>
      </c>
      <c r="J68" s="21" t="inlineStr">
        <is>
          <t>Nubank</t>
        </is>
      </c>
      <c r="K68" s="22">
        <f>IF(AND($I68="Não",$H68&lt;&gt;"",$H68&lt;=TODAY()+7),COUNTIFS($H$5:$H$204,"&lt;"&amp;$H68,$I$5:$I$204,"Não",$H$5:$H$204,"&lt;="&amp;TODAY()+7)+COUNTIFS($H$5:$H68,$H68,$I$5:$I68,"Não"),"")</f>
        <v/>
      </c>
      <c r="L68" s="1" t="n"/>
      <c r="M68" s="1" t="n"/>
    </row>
    <row r="69">
      <c r="A69" s="18" t="n">
        <v>46179</v>
      </c>
      <c r="B69" s="19" t="inlineStr">
        <is>
          <t>Streaming (Netflix + Spotify)</t>
        </is>
      </c>
      <c r="C69" s="19" t="inlineStr">
        <is>
          <t>Assinaturas</t>
        </is>
      </c>
      <c r="D69" s="20" t="n">
        <v>55</v>
      </c>
      <c r="E69" s="19" t="inlineStr">
        <is>
          <t>Crédito</t>
        </is>
      </c>
      <c r="F69" s="21" t="inlineStr">
        <is>
          <t>Nubank</t>
        </is>
      </c>
      <c r="G69" s="21" t="inlineStr"/>
      <c r="H69" s="18" t="n">
        <v>46208</v>
      </c>
      <c r="I69" s="21" t="inlineStr">
        <is>
          <t>Sim</t>
        </is>
      </c>
      <c r="J69" s="21" t="inlineStr">
        <is>
          <t>Nubank</t>
        </is>
      </c>
      <c r="K69" s="22">
        <f>IF(AND($I69="Não",$H69&lt;&gt;"",$H69&lt;=TODAY()+7),COUNTIFS($H$5:$H$204,"&lt;"&amp;$H69,$I$5:$I$204,"Não",$H$5:$H$204,"&lt;="&amp;TODAY()+7)+COUNTIFS($H$5:$H69,$H69,$I$5:$I69,"Não"),"")</f>
        <v/>
      </c>
      <c r="L69" s="1" t="n"/>
      <c r="M69" s="1" t="n"/>
    </row>
    <row r="70">
      <c r="A70" s="18" t="n">
        <v>46179</v>
      </c>
      <c r="B70" s="19" t="inlineStr">
        <is>
          <t>Aporte em investimentos</t>
        </is>
      </c>
      <c r="C70" s="19" t="inlineStr">
        <is>
          <t>Investimentos</t>
        </is>
      </c>
      <c r="D70" s="20" t="n">
        <v>500</v>
      </c>
      <c r="E70" s="19" t="inlineStr">
        <is>
          <t>Transferência</t>
        </is>
      </c>
      <c r="F70" s="21" t="inlineStr"/>
      <c r="G70" s="21" t="inlineStr"/>
      <c r="H70" s="18" t="n">
        <v>46179</v>
      </c>
      <c r="I70" s="21" t="inlineStr">
        <is>
          <t>Sim</t>
        </is>
      </c>
      <c r="J70" s="21" t="inlineStr">
        <is>
          <t>Itaú</t>
        </is>
      </c>
      <c r="K70" s="22">
        <f>IF(AND($I70="Não",$H70&lt;&gt;"",$H70&lt;=TODAY()+7),COUNTIFS($H$5:$H$204,"&lt;"&amp;$H70,$I$5:$I$204,"Não",$H$5:$H$204,"&lt;="&amp;TODAY()+7)+COUNTIFS($H$5:$H70,$H70,$I$5:$I70,"Não"),"")</f>
        <v/>
      </c>
      <c r="L70" s="1" t="n"/>
      <c r="M70" s="1" t="n"/>
    </row>
    <row r="71">
      <c r="A71" s="18" t="n">
        <v>46181</v>
      </c>
      <c r="B71" s="19" t="inlineStr">
        <is>
          <t>Aluguel + condomínio</t>
        </is>
      </c>
      <c r="C71" s="19" t="inlineStr">
        <is>
          <t>Moradia</t>
        </is>
      </c>
      <c r="D71" s="20" t="n">
        <v>1500</v>
      </c>
      <c r="E71" s="19" t="inlineStr">
        <is>
          <t>Boleto</t>
        </is>
      </c>
      <c r="F71" s="21" t="inlineStr"/>
      <c r="G71" s="21" t="inlineStr"/>
      <c r="H71" s="18" t="n">
        <v>46183</v>
      </c>
      <c r="I71" s="21" t="inlineStr">
        <is>
          <t>Sim</t>
        </is>
      </c>
      <c r="J71" s="21" t="inlineStr">
        <is>
          <t>Itaú</t>
        </is>
      </c>
      <c r="K71" s="22">
        <f>IF(AND($I71="Não",$H71&lt;&gt;"",$H71&lt;=TODAY()+7),COUNTIFS($H$5:$H$204,"&lt;"&amp;$H71,$I$5:$I$204,"Não",$H$5:$H$204,"&lt;="&amp;TODAY()+7)+COUNTIFS($H$5:$H71,$H71,$I$5:$I71,"Não"),"")</f>
        <v/>
      </c>
      <c r="L71" s="1" t="n"/>
      <c r="M71" s="1" t="n"/>
    </row>
    <row r="72">
      <c r="A72" s="18" t="n">
        <v>46183</v>
      </c>
      <c r="B72" s="19" t="inlineStr">
        <is>
          <t>Plano de celular</t>
        </is>
      </c>
      <c r="C72" s="19" t="inlineStr">
        <is>
          <t>Contas Fixas</t>
        </is>
      </c>
      <c r="D72" s="20" t="n">
        <v>60</v>
      </c>
      <c r="E72" s="19" t="inlineStr">
        <is>
          <t>Débito</t>
        </is>
      </c>
      <c r="F72" s="21" t="inlineStr"/>
      <c r="G72" s="21" t="inlineStr"/>
      <c r="H72" s="18" t="n">
        <v>46185</v>
      </c>
      <c r="I72" s="21" t="inlineStr">
        <is>
          <t>Sim</t>
        </is>
      </c>
      <c r="J72" s="21" t="inlineStr">
        <is>
          <t>Nubank</t>
        </is>
      </c>
      <c r="K72" s="22">
        <f>IF(AND($I72="Não",$H72&lt;&gt;"",$H72&lt;=TODAY()+7),COUNTIFS($H$5:$H$204,"&lt;"&amp;$H72,$I$5:$I$204,"Não",$H$5:$H$204,"&lt;="&amp;TODAY()+7)+COUNTIFS($H$5:$H72,$H72,$I$5:$I72,"Não"),"")</f>
        <v/>
      </c>
      <c r="L72" s="1" t="n"/>
      <c r="M72" s="1" t="n"/>
    </row>
    <row r="73">
      <c r="A73" s="18" t="n">
        <v>46185</v>
      </c>
      <c r="B73" s="19" t="inlineStr">
        <is>
          <t>Supermercado do mês</t>
        </is>
      </c>
      <c r="C73" s="19" t="inlineStr">
        <is>
          <t>Alimentação</t>
        </is>
      </c>
      <c r="D73" s="20" t="n">
        <v>720</v>
      </c>
      <c r="E73" s="19" t="inlineStr">
        <is>
          <t>Crédito</t>
        </is>
      </c>
      <c r="F73" s="21" t="inlineStr">
        <is>
          <t>Nubank</t>
        </is>
      </c>
      <c r="G73" s="21" t="inlineStr"/>
      <c r="H73" s="18" t="n">
        <v>46208</v>
      </c>
      <c r="I73" s="21" t="inlineStr">
        <is>
          <t>Sim</t>
        </is>
      </c>
      <c r="J73" s="21" t="inlineStr">
        <is>
          <t>Nubank</t>
        </is>
      </c>
      <c r="K73" s="22">
        <f>IF(AND($I73="Não",$H73&lt;&gt;"",$H73&lt;=TODAY()+7),COUNTIFS($H$5:$H$204,"&lt;"&amp;$H73,$I$5:$I$204,"Não",$H$5:$H$204,"&lt;="&amp;TODAY()+7)+COUNTIFS($H$5:$H73,$H73,$I$5:$I73,"Não"),"")</f>
        <v/>
      </c>
      <c r="L73" s="1" t="n"/>
      <c r="M73" s="1" t="n"/>
    </row>
    <row r="74">
      <c r="A74" s="18" t="n">
        <v>46186</v>
      </c>
      <c r="B74" s="19" t="inlineStr">
        <is>
          <t>Internet fibra</t>
        </is>
      </c>
      <c r="C74" s="19" t="inlineStr">
        <is>
          <t>Contas Fixas</t>
        </is>
      </c>
      <c r="D74" s="20" t="n">
        <v>100</v>
      </c>
      <c r="E74" s="19" t="inlineStr">
        <is>
          <t>Débito</t>
        </is>
      </c>
      <c r="F74" s="21" t="inlineStr"/>
      <c r="G74" s="21" t="inlineStr"/>
      <c r="H74" s="18" t="n">
        <v>46188</v>
      </c>
      <c r="I74" s="21" t="inlineStr">
        <is>
          <t>Sim</t>
        </is>
      </c>
      <c r="J74" s="21" t="inlineStr">
        <is>
          <t>Itaú</t>
        </is>
      </c>
      <c r="K74" s="22">
        <f>IF(AND($I74="Não",$H74&lt;&gt;"",$H74&lt;=TODAY()+7),COUNTIFS($H$5:$H$204,"&lt;"&amp;$H74,$I$5:$I$204,"Não",$H$5:$H$204,"&lt;="&amp;TODAY()+7)+COUNTIFS($H$5:$H74,$H74,$I$5:$I74,"Não"),"")</f>
        <v/>
      </c>
      <c r="L74" s="1" t="n"/>
      <c r="M74" s="1" t="n"/>
    </row>
    <row r="75">
      <c r="A75" s="18" t="n">
        <v>46189</v>
      </c>
      <c r="B75" s="19" t="inlineStr">
        <is>
          <t>Combustível</t>
        </is>
      </c>
      <c r="C75" s="19" t="inlineStr">
        <is>
          <t>Transporte</t>
        </is>
      </c>
      <c r="D75" s="20" t="n">
        <v>270</v>
      </c>
      <c r="E75" s="19" t="inlineStr">
        <is>
          <t>Crédito</t>
        </is>
      </c>
      <c r="F75" s="21" t="inlineStr">
        <is>
          <t>Itaú</t>
        </is>
      </c>
      <c r="G75" s="21" t="inlineStr"/>
      <c r="H75" s="18" t="n">
        <v>46206</v>
      </c>
      <c r="I75" s="21" t="inlineStr">
        <is>
          <t>Sim</t>
        </is>
      </c>
      <c r="J75" s="21" t="inlineStr">
        <is>
          <t>Itaú</t>
        </is>
      </c>
      <c r="K75" s="22">
        <f>IF(AND($I75="Não",$H75&lt;&gt;"",$H75&lt;=TODAY()+7),COUNTIFS($H$5:$H$204,"&lt;"&amp;$H75,$I$5:$I$204,"Não",$H$5:$H$204,"&lt;="&amp;TODAY()+7)+COUNTIFS($H$5:$H75,$H75,$I$5:$I75,"Não"),"")</f>
        <v/>
      </c>
      <c r="L75" s="1" t="n"/>
      <c r="M75" s="1" t="n"/>
    </row>
    <row r="76">
      <c r="A76" s="18" t="n">
        <v>46191</v>
      </c>
      <c r="B76" s="19" t="inlineStr">
        <is>
          <t>Presente de aniversário</t>
        </is>
      </c>
      <c r="C76" s="19" t="inlineStr">
        <is>
          <t>Outros</t>
        </is>
      </c>
      <c r="D76" s="20" t="n">
        <v>130</v>
      </c>
      <c r="E76" s="19" t="inlineStr">
        <is>
          <t>Pix</t>
        </is>
      </c>
      <c r="F76" s="21" t="inlineStr"/>
      <c r="G76" s="21" t="inlineStr"/>
      <c r="H76" s="18" t="n">
        <v>46191</v>
      </c>
      <c r="I76" s="21" t="inlineStr">
        <is>
          <t>Sim</t>
        </is>
      </c>
      <c r="J76" s="21" t="inlineStr">
        <is>
          <t>Nubank</t>
        </is>
      </c>
      <c r="K76" s="22">
        <f>IF(AND($I76="Não",$H76&lt;&gt;"",$H76&lt;=TODAY()+7),COUNTIFS($H$5:$H$204,"&lt;"&amp;$H76,$I$5:$I$204,"Não",$H$5:$H$204,"&lt;="&amp;TODAY()+7)+COUNTIFS($H$5:$H76,$H76,$I$5:$I76,"Não"),"")</f>
        <v/>
      </c>
      <c r="L76" s="1" t="n"/>
      <c r="M76" s="1" t="n"/>
    </row>
    <row r="77">
      <c r="A77" s="18" t="n">
        <v>46195</v>
      </c>
      <c r="B77" s="19" t="inlineStr">
        <is>
          <t>Restaurantes e delivery</t>
        </is>
      </c>
      <c r="C77" s="19" t="inlineStr">
        <is>
          <t>Lazer</t>
        </is>
      </c>
      <c r="D77" s="20" t="n">
        <v>260</v>
      </c>
      <c r="E77" s="19" t="inlineStr">
        <is>
          <t>Crédito</t>
        </is>
      </c>
      <c r="F77" s="21" t="inlineStr">
        <is>
          <t>Nubank</t>
        </is>
      </c>
      <c r="G77" s="21" t="inlineStr"/>
      <c r="H77" s="18" t="n">
        <v>46208</v>
      </c>
      <c r="I77" s="21" t="inlineStr">
        <is>
          <t>Sim</t>
        </is>
      </c>
      <c r="J77" s="21" t="inlineStr">
        <is>
          <t>Nubank</t>
        </is>
      </c>
      <c r="K77" s="22">
        <f>IF(AND($I77="Não",$H77&lt;&gt;"",$H77&lt;=TODAY()+7),COUNTIFS($H$5:$H$204,"&lt;"&amp;$H77,$I$5:$I$204,"Não",$H$5:$H$204,"&lt;="&amp;TODAY()+7)+COUNTIFS($H$5:$H77,$H77,$I$5:$I77,"Não"),"")</f>
        <v/>
      </c>
      <c r="L77" s="1" t="n"/>
      <c r="M77" s="1" t="n"/>
    </row>
    <row r="78">
      <c r="A78" s="18" t="n">
        <v>46204</v>
      </c>
      <c r="B78" s="19" t="inlineStr">
        <is>
          <t>Notebook Dell — parcela 6/12</t>
        </is>
      </c>
      <c r="C78" s="19" t="inlineStr">
        <is>
          <t>Outros</t>
        </is>
      </c>
      <c r="D78" s="20" t="n">
        <v>300</v>
      </c>
      <c r="E78" s="19" t="inlineStr">
        <is>
          <t>Crédito</t>
        </is>
      </c>
      <c r="F78" s="21" t="inlineStr">
        <is>
          <t>Itaú</t>
        </is>
      </c>
      <c r="G78" s="21" t="inlineStr">
        <is>
          <t>12x</t>
        </is>
      </c>
      <c r="H78" s="18" t="n">
        <v>46237</v>
      </c>
      <c r="I78" s="21" t="inlineStr">
        <is>
          <t>Não</t>
        </is>
      </c>
      <c r="J78" s="21" t="inlineStr">
        <is>
          <t>Itaú</t>
        </is>
      </c>
      <c r="K78" s="22">
        <f>IF(AND($I78="Não",$H78&lt;&gt;"",$H78&lt;=TODAY()+7),COUNTIFS($H$5:$H$204,"&lt;"&amp;$H78,$I$5:$I$204,"Não",$H$5:$H$204,"&lt;="&amp;TODAY()+7)+COUNTIFS($H$5:$H78,$H78,$I$5:$I78,"Não"),"")</f>
        <v/>
      </c>
      <c r="L78" s="1" t="n"/>
      <c r="M78" s="1" t="n"/>
    </row>
    <row r="79">
      <c r="A79" s="18" t="n">
        <v>46204</v>
      </c>
      <c r="B79" s="19" t="inlineStr">
        <is>
          <t>Cinema com amigos</t>
        </is>
      </c>
      <c r="C79" s="19" t="inlineStr">
        <is>
          <t>Lazer</t>
        </is>
      </c>
      <c r="D79" s="20" t="n">
        <v>65</v>
      </c>
      <c r="E79" s="19" t="inlineStr">
        <is>
          <t>Débito</t>
        </is>
      </c>
      <c r="F79" s="21" t="inlineStr"/>
      <c r="G79" s="21" t="inlineStr"/>
      <c r="H79" s="18" t="n">
        <v>46204</v>
      </c>
      <c r="I79" s="21" t="inlineStr">
        <is>
          <t>Sim</t>
        </is>
      </c>
      <c r="J79" s="21" t="inlineStr">
        <is>
          <t>Nubank</t>
        </is>
      </c>
      <c r="K79" s="22">
        <f>IF(AND($I79="Não",$H79&lt;&gt;"",$H79&lt;=TODAY()+7),COUNTIFS($H$5:$H$204,"&lt;"&amp;$H79,$I$5:$I$204,"Não",$H$5:$H$204,"&lt;="&amp;TODAY()+7)+COUNTIFS($H$5:$H79,$H79,$I$5:$I79,"Não"),"")</f>
        <v/>
      </c>
      <c r="L79" s="1" t="n"/>
      <c r="M79" s="1" t="n"/>
    </row>
    <row r="80">
      <c r="A80" s="18" t="n">
        <v>46205</v>
      </c>
      <c r="B80" s="19" t="inlineStr">
        <is>
          <t>Smartphone — parcela 3/10</t>
        </is>
      </c>
      <c r="C80" s="19" t="inlineStr">
        <is>
          <t>Outros</t>
        </is>
      </c>
      <c r="D80" s="20" t="n">
        <v>240</v>
      </c>
      <c r="E80" s="19" t="inlineStr">
        <is>
          <t>Crédito</t>
        </is>
      </c>
      <c r="F80" s="21" t="inlineStr">
        <is>
          <t>Nubank</t>
        </is>
      </c>
      <c r="G80" s="21" t="inlineStr">
        <is>
          <t>10x</t>
        </is>
      </c>
      <c r="H80" s="18" t="n">
        <v>46239</v>
      </c>
      <c r="I80" s="21" t="inlineStr">
        <is>
          <t>Não</t>
        </is>
      </c>
      <c r="J80" s="21" t="inlineStr">
        <is>
          <t>Nubank</t>
        </is>
      </c>
      <c r="K80" s="22">
        <f>IF(AND($I80="Não",$H80&lt;&gt;"",$H80&lt;=TODAY()+7),COUNTIFS($H$5:$H$204,"&lt;"&amp;$H80,$I$5:$I$204,"Não",$H$5:$H$204,"&lt;="&amp;TODAY()+7)+COUNTIFS($H$5:$H80,$H80,$I$5:$I80,"Não"),"")</f>
        <v/>
      </c>
      <c r="L80" s="1" t="n"/>
      <c r="M80" s="1" t="n"/>
    </row>
    <row r="81">
      <c r="A81" s="18" t="n">
        <v>46205</v>
      </c>
      <c r="B81" s="19" t="inlineStr">
        <is>
          <t>Ingresso de show</t>
        </is>
      </c>
      <c r="C81" s="19" t="inlineStr">
        <is>
          <t>Lazer</t>
        </is>
      </c>
      <c r="D81" s="20" t="n">
        <v>120</v>
      </c>
      <c r="E81" s="19" t="inlineStr">
        <is>
          <t>Crédito</t>
        </is>
      </c>
      <c r="F81" s="21" t="inlineStr">
        <is>
          <t>Nubank</t>
        </is>
      </c>
      <c r="G81" s="21" t="inlineStr"/>
      <c r="H81" s="18" t="n">
        <v>46239</v>
      </c>
      <c r="I81" s="21" t="inlineStr">
        <is>
          <t>Não</t>
        </is>
      </c>
      <c r="J81" s="21" t="inlineStr">
        <is>
          <t>Nubank</t>
        </is>
      </c>
      <c r="K81" s="22">
        <f>IF(AND($I81="Não",$H81&lt;&gt;"",$H81&lt;=TODAY()+7),COUNTIFS($H$5:$H$204,"&lt;"&amp;$H81,$I$5:$I$204,"Não",$H$5:$H$204,"&lt;="&amp;TODAY()+7)+COUNTIFS($H$5:$H81,$H81,$I$5:$I81,"Não"),"")</f>
        <v/>
      </c>
      <c r="L81" s="1" t="n"/>
      <c r="M81" s="1" t="n"/>
    </row>
    <row r="82">
      <c r="A82" s="18" t="n">
        <v>46206</v>
      </c>
      <c r="B82" s="19" t="inlineStr">
        <is>
          <t>Energia elétrica</t>
        </is>
      </c>
      <c r="C82" s="19" t="inlineStr">
        <is>
          <t>Contas Fixas</t>
        </is>
      </c>
      <c r="D82" s="20" t="n">
        <v>148</v>
      </c>
      <c r="E82" s="19" t="inlineStr">
        <is>
          <t>Pix</t>
        </is>
      </c>
      <c r="F82" s="21" t="inlineStr"/>
      <c r="G82" s="21" t="inlineStr"/>
      <c r="H82" s="18" t="n">
        <v>46211</v>
      </c>
      <c r="I82" s="21" t="inlineStr">
        <is>
          <t>Não</t>
        </is>
      </c>
      <c r="J82" s="21" t="inlineStr">
        <is>
          <t>Itaú</t>
        </is>
      </c>
      <c r="K82" s="22">
        <f>IF(AND($I82="Não",$H82&lt;&gt;"",$H82&lt;=TODAY()+7),COUNTIFS($H$5:$H$204,"&lt;"&amp;$H82,$I$5:$I$204,"Não",$H$5:$H$204,"&lt;="&amp;TODAY()+7)+COUNTIFS($H$5:$H82,$H82,$I$5:$I82,"Não"),"")</f>
        <v/>
      </c>
      <c r="L82" s="1" t="n"/>
      <c r="M82" s="1" t="n"/>
    </row>
    <row r="83">
      <c r="A83" s="18" t="n">
        <v>46207</v>
      </c>
      <c r="B83" s="19" t="inlineStr">
        <is>
          <t>Academia</t>
        </is>
      </c>
      <c r="C83" s="19" t="inlineStr">
        <is>
          <t>Saúde</t>
        </is>
      </c>
      <c r="D83" s="20" t="n">
        <v>90</v>
      </c>
      <c r="E83" s="19" t="inlineStr">
        <is>
          <t>Débito</t>
        </is>
      </c>
      <c r="F83" s="21" t="inlineStr"/>
      <c r="G83" s="21" t="inlineStr"/>
      <c r="H83" s="18" t="n">
        <v>46208</v>
      </c>
      <c r="I83" s="21" t="inlineStr">
        <is>
          <t>Não</t>
        </is>
      </c>
      <c r="J83" s="21" t="inlineStr">
        <is>
          <t>Nubank</t>
        </is>
      </c>
      <c r="K83" s="22">
        <f>IF(AND($I83="Não",$H83&lt;&gt;"",$H83&lt;=TODAY()+7),COUNTIFS($H$5:$H$204,"&lt;"&amp;$H83,$I$5:$I$204,"Não",$H$5:$H$204,"&lt;="&amp;TODAY()+7)+COUNTIFS($H$5:$H83,$H83,$I$5:$I83,"Não"),"")</f>
        <v/>
      </c>
      <c r="L83" s="1" t="n"/>
      <c r="M83" s="1" t="n"/>
    </row>
    <row r="84">
      <c r="A84" s="18" t="n">
        <v>46209</v>
      </c>
      <c r="B84" s="19" t="inlineStr">
        <is>
          <t>Streaming (Netflix + Spotify)</t>
        </is>
      </c>
      <c r="C84" s="19" t="inlineStr">
        <is>
          <t>Assinaturas</t>
        </is>
      </c>
      <c r="D84" s="20" t="n">
        <v>55</v>
      </c>
      <c r="E84" s="19" t="inlineStr">
        <is>
          <t>Crédito</t>
        </is>
      </c>
      <c r="F84" s="21" t="inlineStr">
        <is>
          <t>Nubank</t>
        </is>
      </c>
      <c r="G84" s="21" t="inlineStr"/>
      <c r="H84" s="18" t="n">
        <v>46239</v>
      </c>
      <c r="I84" s="21" t="inlineStr">
        <is>
          <t>Não</t>
        </is>
      </c>
      <c r="J84" s="21" t="inlineStr">
        <is>
          <t>Nubank</t>
        </is>
      </c>
      <c r="K84" s="22">
        <f>IF(AND($I84="Não",$H84&lt;&gt;"",$H84&lt;=TODAY()+7),COUNTIFS($H$5:$H$204,"&lt;"&amp;$H84,$I$5:$I$204,"Não",$H$5:$H$204,"&lt;="&amp;TODAY()+7)+COUNTIFS($H$5:$H84,$H84,$I$5:$I84,"Não"),"")</f>
        <v/>
      </c>
      <c r="L84" s="1" t="n"/>
      <c r="M84" s="1" t="n"/>
    </row>
    <row r="85">
      <c r="A85" s="18" t="n">
        <v>46211</v>
      </c>
      <c r="B85" s="19" t="inlineStr">
        <is>
          <t>Aluguel + condomínio</t>
        </is>
      </c>
      <c r="C85" s="19" t="inlineStr">
        <is>
          <t>Moradia</t>
        </is>
      </c>
      <c r="D85" s="20" t="n">
        <v>1500</v>
      </c>
      <c r="E85" s="19" t="inlineStr">
        <is>
          <t>Boleto</t>
        </is>
      </c>
      <c r="F85" s="21" t="inlineStr"/>
      <c r="G85" s="21" t="inlineStr"/>
      <c r="H85" s="18" t="n">
        <v>46213</v>
      </c>
      <c r="I85" s="21" t="inlineStr">
        <is>
          <t>Não</t>
        </is>
      </c>
      <c r="J85" s="21" t="inlineStr">
        <is>
          <t>Itaú</t>
        </is>
      </c>
      <c r="K85" s="22">
        <f>IF(AND($I85="Não",$H85&lt;&gt;"",$H85&lt;=TODAY()+7),COUNTIFS($H$5:$H$204,"&lt;"&amp;$H85,$I$5:$I$204,"Não",$H$5:$H$204,"&lt;="&amp;TODAY()+7)+COUNTIFS($H$5:$H85,$H85,$I$5:$I85,"Não"),"")</f>
        <v/>
      </c>
      <c r="L85" s="1" t="n"/>
      <c r="M85" s="1" t="n"/>
    </row>
    <row r="86">
      <c r="A86" s="18" t="n">
        <v>46213</v>
      </c>
      <c r="B86" s="19" t="inlineStr">
        <is>
          <t>Plano de celular</t>
        </is>
      </c>
      <c r="C86" s="19" t="inlineStr">
        <is>
          <t>Contas Fixas</t>
        </is>
      </c>
      <c r="D86" s="20" t="n">
        <v>60</v>
      </c>
      <c r="E86" s="19" t="inlineStr">
        <is>
          <t>Débito</t>
        </is>
      </c>
      <c r="F86" s="21" t="inlineStr"/>
      <c r="G86" s="21" t="inlineStr"/>
      <c r="H86" s="18" t="n">
        <v>46215</v>
      </c>
      <c r="I86" s="21" t="inlineStr">
        <is>
          <t>Não</t>
        </is>
      </c>
      <c r="J86" s="21" t="inlineStr">
        <is>
          <t>Nubank</t>
        </is>
      </c>
      <c r="K86" s="22">
        <f>IF(AND($I86="Não",$H86&lt;&gt;"",$H86&lt;=TODAY()+7),COUNTIFS($H$5:$H$204,"&lt;"&amp;$H86,$I$5:$I$204,"Não",$H$5:$H$204,"&lt;="&amp;TODAY()+7)+COUNTIFS($H$5:$H86,$H86,$I$5:$I86,"Não"),"")</f>
        <v/>
      </c>
      <c r="L86" s="1" t="n"/>
      <c r="M86" s="1" t="n"/>
    </row>
    <row r="87">
      <c r="A87" s="18" t="n">
        <v>46215</v>
      </c>
      <c r="B87" s="19" t="inlineStr">
        <is>
          <t>Supermercado do mês</t>
        </is>
      </c>
      <c r="C87" s="19" t="inlineStr">
        <is>
          <t>Alimentação</t>
        </is>
      </c>
      <c r="D87" s="20" t="n">
        <v>680</v>
      </c>
      <c r="E87" s="19" t="inlineStr">
        <is>
          <t>Crédito</t>
        </is>
      </c>
      <c r="F87" s="21" t="inlineStr">
        <is>
          <t>Nubank</t>
        </is>
      </c>
      <c r="G87" s="21" t="inlineStr"/>
      <c r="H87" s="18" t="n">
        <v>46239</v>
      </c>
      <c r="I87" s="21" t="inlineStr">
        <is>
          <t>Não</t>
        </is>
      </c>
      <c r="J87" s="21" t="inlineStr">
        <is>
          <t>Nubank</t>
        </is>
      </c>
      <c r="K87" s="22">
        <f>IF(AND($I87="Não",$H87&lt;&gt;"",$H87&lt;=TODAY()+7),COUNTIFS($H$5:$H$204,"&lt;"&amp;$H87,$I$5:$I$204,"Não",$H$5:$H$204,"&lt;="&amp;TODAY()+7)+COUNTIFS($H$5:$H87,$H87,$I$5:$I87,"Não"),"")</f>
        <v/>
      </c>
      <c r="L87" s="1" t="n"/>
      <c r="M87" s="1" t="n"/>
    </row>
    <row r="88">
      <c r="A88" s="18" t="n">
        <v>46216</v>
      </c>
      <c r="B88" s="19" t="inlineStr">
        <is>
          <t>Internet fibra</t>
        </is>
      </c>
      <c r="C88" s="19" t="inlineStr">
        <is>
          <t>Contas Fixas</t>
        </is>
      </c>
      <c r="D88" s="20" t="n">
        <v>100</v>
      </c>
      <c r="E88" s="19" t="inlineStr">
        <is>
          <t>Débito</t>
        </is>
      </c>
      <c r="F88" s="21" t="inlineStr"/>
      <c r="G88" s="21" t="inlineStr"/>
      <c r="H88" s="18" t="n">
        <v>46218</v>
      </c>
      <c r="I88" s="21" t="inlineStr">
        <is>
          <t>Não</t>
        </is>
      </c>
      <c r="J88" s="21" t="inlineStr">
        <is>
          <t>Itaú</t>
        </is>
      </c>
      <c r="K88" s="22">
        <f>IF(AND($I88="Não",$H88&lt;&gt;"",$H88&lt;=TODAY()+7),COUNTIFS($H$5:$H$204,"&lt;"&amp;$H88,$I$5:$I$204,"Não",$H$5:$H$204,"&lt;="&amp;TODAY()+7)+COUNTIFS($H$5:$H88,$H88,$I$5:$I88,"Não"),"")</f>
        <v/>
      </c>
      <c r="L88" s="1" t="n"/>
      <c r="M88" s="1" t="n"/>
    </row>
    <row r="89">
      <c r="A89" s="18" t="n">
        <v>46219</v>
      </c>
      <c r="B89" s="19" t="inlineStr">
        <is>
          <t>Combustível</t>
        </is>
      </c>
      <c r="C89" s="19" t="inlineStr">
        <is>
          <t>Transporte</t>
        </is>
      </c>
      <c r="D89" s="20" t="n">
        <v>90</v>
      </c>
      <c r="E89" s="19" t="inlineStr">
        <is>
          <t>Crédito</t>
        </is>
      </c>
      <c r="F89" s="21" t="inlineStr">
        <is>
          <t>Itaú</t>
        </is>
      </c>
      <c r="G89" s="21" t="inlineStr"/>
      <c r="H89" s="18" t="n">
        <v>46237</v>
      </c>
      <c r="I89" s="21" t="inlineStr">
        <is>
          <t>Não</t>
        </is>
      </c>
      <c r="J89" s="21" t="inlineStr">
        <is>
          <t>Itaú</t>
        </is>
      </c>
      <c r="K89" s="22">
        <f>IF(AND($I89="Não",$H89&lt;&gt;"",$H89&lt;=TODAY()+7),COUNTIFS($H$5:$H$204,"&lt;"&amp;$H89,$I$5:$I$204,"Não",$H$5:$H$204,"&lt;="&amp;TODAY()+7)+COUNTIFS($H$5:$H89,$H89,$I$5:$I89,"Não"),"")</f>
        <v/>
      </c>
      <c r="L89" s="1" t="n"/>
      <c r="M89" s="1" t="n"/>
    </row>
    <row r="90">
      <c r="A90" s="18" t="n">
        <v>46225</v>
      </c>
      <c r="B90" s="19" t="inlineStr">
        <is>
          <t>Restaurantes e delivery</t>
        </is>
      </c>
      <c r="C90" s="19" t="inlineStr">
        <is>
          <t>Lazer</t>
        </is>
      </c>
      <c r="D90" s="20" t="n">
        <v>120</v>
      </c>
      <c r="E90" s="19" t="inlineStr">
        <is>
          <t>Crédito</t>
        </is>
      </c>
      <c r="F90" s="21" t="inlineStr">
        <is>
          <t>Nubank</t>
        </is>
      </c>
      <c r="G90" s="21" t="inlineStr"/>
      <c r="H90" s="18" t="n">
        <v>46239</v>
      </c>
      <c r="I90" s="21" t="inlineStr">
        <is>
          <t>Não</t>
        </is>
      </c>
      <c r="J90" s="21" t="inlineStr">
        <is>
          <t>Nubank</t>
        </is>
      </c>
      <c r="K90" s="22">
        <f>IF(AND($I90="Não",$H90&lt;&gt;"",$H90&lt;=TODAY()+7),COUNTIFS($H$5:$H$204,"&lt;"&amp;$H90,$I$5:$I$204,"Não",$H$5:$H$204,"&lt;="&amp;TODAY()+7)+COUNTIFS($H$5:$H90,$H90,$I$5:$I90,"Não"),"")</f>
        <v/>
      </c>
      <c r="L90" s="1" t="n"/>
      <c r="M90" s="1" t="n"/>
    </row>
    <row r="91">
      <c r="A91" s="18" t="n"/>
      <c r="B91" s="19" t="n"/>
      <c r="C91" s="19" t="n"/>
      <c r="D91" s="20" t="n"/>
      <c r="E91" s="19" t="n"/>
      <c r="F91" s="21" t="n"/>
      <c r="G91" s="21" t="n"/>
      <c r="H91" s="18" t="n"/>
      <c r="I91" s="21" t="n"/>
      <c r="J91" s="21" t="n"/>
      <c r="K91" s="22">
        <f>IF(AND($I91="Não",$H91&lt;&gt;"",$H91&lt;=TODAY()+7),COUNTIFS($H$5:$H$204,"&lt;"&amp;$H91,$I$5:$I$204,"Não",$H$5:$H$204,"&lt;="&amp;TODAY()+7)+COUNTIFS($H$5:$H91,$H91,$I$5:$I91,"Não"),"")</f>
        <v/>
      </c>
      <c r="L91" s="1" t="n"/>
      <c r="M91" s="1" t="n"/>
    </row>
    <row r="92">
      <c r="A92" s="18" t="n"/>
      <c r="B92" s="19" t="n"/>
      <c r="C92" s="19" t="n"/>
      <c r="D92" s="20" t="n"/>
      <c r="E92" s="19" t="n"/>
      <c r="F92" s="21" t="n"/>
      <c r="G92" s="21" t="n"/>
      <c r="H92" s="18" t="n"/>
      <c r="I92" s="21" t="n"/>
      <c r="J92" s="21" t="n"/>
      <c r="K92" s="22">
        <f>IF(AND($I92="Não",$H92&lt;&gt;"",$H92&lt;=TODAY()+7),COUNTIFS($H$5:$H$204,"&lt;"&amp;$H92,$I$5:$I$204,"Não",$H$5:$H$204,"&lt;="&amp;TODAY()+7)+COUNTIFS($H$5:$H92,$H92,$I$5:$I92,"Não"),"")</f>
        <v/>
      </c>
      <c r="L92" s="1" t="n"/>
      <c r="M92" s="1" t="n"/>
    </row>
    <row r="93">
      <c r="A93" s="18" t="n"/>
      <c r="B93" s="19" t="n"/>
      <c r="C93" s="19" t="n"/>
      <c r="D93" s="20" t="n"/>
      <c r="E93" s="19" t="n"/>
      <c r="F93" s="21" t="n"/>
      <c r="G93" s="21" t="n"/>
      <c r="H93" s="18" t="n"/>
      <c r="I93" s="21" t="n"/>
      <c r="J93" s="21" t="n"/>
      <c r="K93" s="22">
        <f>IF(AND($I93="Não",$H93&lt;&gt;"",$H93&lt;=TODAY()+7),COUNTIFS($H$5:$H$204,"&lt;"&amp;$H93,$I$5:$I$204,"Não",$H$5:$H$204,"&lt;="&amp;TODAY()+7)+COUNTIFS($H$5:$H93,$H93,$I$5:$I93,"Não"),"")</f>
        <v/>
      </c>
      <c r="L93" s="1" t="n"/>
      <c r="M93" s="1" t="n"/>
    </row>
    <row r="94">
      <c r="A94" s="18" t="n"/>
      <c r="B94" s="19" t="n"/>
      <c r="C94" s="19" t="n"/>
      <c r="D94" s="20" t="n"/>
      <c r="E94" s="19" t="n"/>
      <c r="F94" s="21" t="n"/>
      <c r="G94" s="21" t="n"/>
      <c r="H94" s="18" t="n"/>
      <c r="I94" s="21" t="n"/>
      <c r="J94" s="21" t="n"/>
      <c r="K94" s="22">
        <f>IF(AND($I94="Não",$H94&lt;&gt;"",$H94&lt;=TODAY()+7),COUNTIFS($H$5:$H$204,"&lt;"&amp;$H94,$I$5:$I$204,"Não",$H$5:$H$204,"&lt;="&amp;TODAY()+7)+COUNTIFS($H$5:$H94,$H94,$I$5:$I94,"Não"),"")</f>
        <v/>
      </c>
      <c r="L94" s="1" t="n"/>
      <c r="M94" s="1" t="n"/>
    </row>
    <row r="95">
      <c r="A95" s="18" t="n"/>
      <c r="B95" s="19" t="n"/>
      <c r="C95" s="19" t="n"/>
      <c r="D95" s="20" t="n"/>
      <c r="E95" s="19" t="n"/>
      <c r="F95" s="21" t="n"/>
      <c r="G95" s="21" t="n"/>
      <c r="H95" s="18" t="n"/>
      <c r="I95" s="21" t="n"/>
      <c r="J95" s="21" t="n"/>
      <c r="K95" s="22">
        <f>IF(AND($I95="Não",$H95&lt;&gt;"",$H95&lt;=TODAY()+7),COUNTIFS($H$5:$H$204,"&lt;"&amp;$H95,$I$5:$I$204,"Não",$H$5:$H$204,"&lt;="&amp;TODAY()+7)+COUNTIFS($H$5:$H95,$H95,$I$5:$I95,"Não"),"")</f>
        <v/>
      </c>
      <c r="L95" s="1" t="n"/>
      <c r="M95" s="1" t="n"/>
    </row>
    <row r="96">
      <c r="A96" s="18" t="n"/>
      <c r="B96" s="19" t="n"/>
      <c r="C96" s="19" t="n"/>
      <c r="D96" s="20" t="n"/>
      <c r="E96" s="19" t="n"/>
      <c r="F96" s="21" t="n"/>
      <c r="G96" s="21" t="n"/>
      <c r="H96" s="18" t="n"/>
      <c r="I96" s="21" t="n"/>
      <c r="J96" s="21" t="n"/>
      <c r="K96" s="22">
        <f>IF(AND($I96="Não",$H96&lt;&gt;"",$H96&lt;=TODAY()+7),COUNTIFS($H$5:$H$204,"&lt;"&amp;$H96,$I$5:$I$204,"Não",$H$5:$H$204,"&lt;="&amp;TODAY()+7)+COUNTIFS($H$5:$H96,$H96,$I$5:$I96,"Não"),"")</f>
        <v/>
      </c>
      <c r="L96" s="1" t="n"/>
      <c r="M96" s="1" t="n"/>
    </row>
    <row r="97">
      <c r="A97" s="18" t="n"/>
      <c r="B97" s="19" t="n"/>
      <c r="C97" s="19" t="n"/>
      <c r="D97" s="20" t="n"/>
      <c r="E97" s="19" t="n"/>
      <c r="F97" s="21" t="n"/>
      <c r="G97" s="21" t="n"/>
      <c r="H97" s="18" t="n"/>
      <c r="I97" s="21" t="n"/>
      <c r="J97" s="21" t="n"/>
      <c r="K97" s="22">
        <f>IF(AND($I97="Não",$H97&lt;&gt;"",$H97&lt;=TODAY()+7),COUNTIFS($H$5:$H$204,"&lt;"&amp;$H97,$I$5:$I$204,"Não",$H$5:$H$204,"&lt;="&amp;TODAY()+7)+COUNTIFS($H$5:$H97,$H97,$I$5:$I97,"Não"),"")</f>
        <v/>
      </c>
      <c r="L97" s="1" t="n"/>
      <c r="M97" s="1" t="n"/>
    </row>
    <row r="98">
      <c r="A98" s="18" t="n"/>
      <c r="B98" s="19" t="n"/>
      <c r="C98" s="19" t="n"/>
      <c r="D98" s="20" t="n"/>
      <c r="E98" s="19" t="n"/>
      <c r="F98" s="21" t="n"/>
      <c r="G98" s="21" t="n"/>
      <c r="H98" s="18" t="n"/>
      <c r="I98" s="21" t="n"/>
      <c r="J98" s="21" t="n"/>
      <c r="K98" s="22">
        <f>IF(AND($I98="Não",$H98&lt;&gt;"",$H98&lt;=TODAY()+7),COUNTIFS($H$5:$H$204,"&lt;"&amp;$H98,$I$5:$I$204,"Não",$H$5:$H$204,"&lt;="&amp;TODAY()+7)+COUNTIFS($H$5:$H98,$H98,$I$5:$I98,"Não"),"")</f>
        <v/>
      </c>
      <c r="L98" s="1" t="n"/>
      <c r="M98" s="1" t="n"/>
    </row>
    <row r="99">
      <c r="A99" s="18" t="n"/>
      <c r="B99" s="19" t="n"/>
      <c r="C99" s="19" t="n"/>
      <c r="D99" s="20" t="n"/>
      <c r="E99" s="19" t="n"/>
      <c r="F99" s="21" t="n"/>
      <c r="G99" s="21" t="n"/>
      <c r="H99" s="18" t="n"/>
      <c r="I99" s="21" t="n"/>
      <c r="J99" s="21" t="n"/>
      <c r="K99" s="22">
        <f>IF(AND($I99="Não",$H99&lt;&gt;"",$H99&lt;=TODAY()+7),COUNTIFS($H$5:$H$204,"&lt;"&amp;$H99,$I$5:$I$204,"Não",$H$5:$H$204,"&lt;="&amp;TODAY()+7)+COUNTIFS($H$5:$H99,$H99,$I$5:$I99,"Não"),"")</f>
        <v/>
      </c>
      <c r="L99" s="1" t="n"/>
      <c r="M99" s="1" t="n"/>
    </row>
    <row r="100">
      <c r="A100" s="18" t="n"/>
      <c r="B100" s="19" t="n"/>
      <c r="C100" s="19" t="n"/>
      <c r="D100" s="20" t="n"/>
      <c r="E100" s="19" t="n"/>
      <c r="F100" s="21" t="n"/>
      <c r="G100" s="21" t="n"/>
      <c r="H100" s="18" t="n"/>
      <c r="I100" s="21" t="n"/>
      <c r="J100" s="21" t="n"/>
      <c r="K100" s="22">
        <f>IF(AND($I100="Não",$H100&lt;&gt;"",$H100&lt;=TODAY()+7),COUNTIFS($H$5:$H$204,"&lt;"&amp;$H100,$I$5:$I$204,"Não",$H$5:$H$204,"&lt;="&amp;TODAY()+7)+COUNTIFS($H$5:$H100,$H100,$I$5:$I100,"Não"),"")</f>
        <v/>
      </c>
      <c r="L100" s="1" t="n"/>
      <c r="M100" s="1" t="n"/>
    </row>
    <row r="101">
      <c r="A101" s="18" t="n"/>
      <c r="B101" s="19" t="n"/>
      <c r="C101" s="19" t="n"/>
      <c r="D101" s="20" t="n"/>
      <c r="E101" s="19" t="n"/>
      <c r="F101" s="21" t="n"/>
      <c r="G101" s="21" t="n"/>
      <c r="H101" s="18" t="n"/>
      <c r="I101" s="21" t="n"/>
      <c r="J101" s="21" t="n"/>
      <c r="K101" s="22">
        <f>IF(AND($I101="Não",$H101&lt;&gt;"",$H101&lt;=TODAY()+7),COUNTIFS($H$5:$H$204,"&lt;"&amp;$H101,$I$5:$I$204,"Não",$H$5:$H$204,"&lt;="&amp;TODAY()+7)+COUNTIFS($H$5:$H101,$H101,$I$5:$I101,"Não"),"")</f>
        <v/>
      </c>
      <c r="L101" s="1" t="n"/>
      <c r="M101" s="1" t="n"/>
    </row>
    <row r="102">
      <c r="A102" s="18" t="n"/>
      <c r="B102" s="19" t="n"/>
      <c r="C102" s="19" t="n"/>
      <c r="D102" s="20" t="n"/>
      <c r="E102" s="19" t="n"/>
      <c r="F102" s="21" t="n"/>
      <c r="G102" s="21" t="n"/>
      <c r="H102" s="18" t="n"/>
      <c r="I102" s="21" t="n"/>
      <c r="J102" s="21" t="n"/>
      <c r="K102" s="22">
        <f>IF(AND($I102="Não",$H102&lt;&gt;"",$H102&lt;=TODAY()+7),COUNTIFS($H$5:$H$204,"&lt;"&amp;$H102,$I$5:$I$204,"Não",$H$5:$H$204,"&lt;="&amp;TODAY()+7)+COUNTIFS($H$5:$H102,$H102,$I$5:$I102,"Não"),"")</f>
        <v/>
      </c>
      <c r="L102" s="1" t="n"/>
      <c r="M102" s="1" t="n"/>
    </row>
    <row r="103">
      <c r="A103" s="18" t="n"/>
      <c r="B103" s="19" t="n"/>
      <c r="C103" s="19" t="n"/>
      <c r="D103" s="20" t="n"/>
      <c r="E103" s="19" t="n"/>
      <c r="F103" s="21" t="n"/>
      <c r="G103" s="21" t="n"/>
      <c r="H103" s="18" t="n"/>
      <c r="I103" s="21" t="n"/>
      <c r="J103" s="21" t="n"/>
      <c r="K103" s="22">
        <f>IF(AND($I103="Não",$H103&lt;&gt;"",$H103&lt;=TODAY()+7),COUNTIFS($H$5:$H$204,"&lt;"&amp;$H103,$I$5:$I$204,"Não",$H$5:$H$204,"&lt;="&amp;TODAY()+7)+COUNTIFS($H$5:$H103,$H103,$I$5:$I103,"Não"),"")</f>
        <v/>
      </c>
      <c r="L103" s="1" t="n"/>
      <c r="M103" s="1" t="n"/>
    </row>
    <row r="104">
      <c r="A104" s="18" t="n"/>
      <c r="B104" s="19" t="n"/>
      <c r="C104" s="19" t="n"/>
      <c r="D104" s="20" t="n"/>
      <c r="E104" s="19" t="n"/>
      <c r="F104" s="21" t="n"/>
      <c r="G104" s="21" t="n"/>
      <c r="H104" s="18" t="n"/>
      <c r="I104" s="21" t="n"/>
      <c r="J104" s="21" t="n"/>
      <c r="K104" s="22">
        <f>IF(AND($I104="Não",$H104&lt;&gt;"",$H104&lt;=TODAY()+7),COUNTIFS($H$5:$H$204,"&lt;"&amp;$H104,$I$5:$I$204,"Não",$H$5:$H$204,"&lt;="&amp;TODAY()+7)+COUNTIFS($H$5:$H104,$H104,$I$5:$I104,"Não"),"")</f>
        <v/>
      </c>
      <c r="L104" s="1" t="n"/>
      <c r="M104" s="1" t="n"/>
    </row>
    <row r="105">
      <c r="A105" s="18" t="n"/>
      <c r="B105" s="19" t="n"/>
      <c r="C105" s="19" t="n"/>
      <c r="D105" s="20" t="n"/>
      <c r="E105" s="19" t="n"/>
      <c r="F105" s="21" t="n"/>
      <c r="G105" s="21" t="n"/>
      <c r="H105" s="18" t="n"/>
      <c r="I105" s="21" t="n"/>
      <c r="J105" s="21" t="n"/>
      <c r="K105" s="22">
        <f>IF(AND($I105="Não",$H105&lt;&gt;"",$H105&lt;=TODAY()+7),COUNTIFS($H$5:$H$204,"&lt;"&amp;$H105,$I$5:$I$204,"Não",$H$5:$H$204,"&lt;="&amp;TODAY()+7)+COUNTIFS($H$5:$H105,$H105,$I$5:$I105,"Não"),"")</f>
        <v/>
      </c>
      <c r="L105" s="1" t="n"/>
      <c r="M105" s="1" t="n"/>
    </row>
    <row r="106">
      <c r="A106" s="18" t="n"/>
      <c r="B106" s="19" t="n"/>
      <c r="C106" s="19" t="n"/>
      <c r="D106" s="20" t="n"/>
      <c r="E106" s="19" t="n"/>
      <c r="F106" s="21" t="n"/>
      <c r="G106" s="21" t="n"/>
      <c r="H106" s="18" t="n"/>
      <c r="I106" s="21" t="n"/>
      <c r="J106" s="21" t="n"/>
      <c r="K106" s="22">
        <f>IF(AND($I106="Não",$H106&lt;&gt;"",$H106&lt;=TODAY()+7),COUNTIFS($H$5:$H$204,"&lt;"&amp;$H106,$I$5:$I$204,"Não",$H$5:$H$204,"&lt;="&amp;TODAY()+7)+COUNTIFS($H$5:$H106,$H106,$I$5:$I106,"Não"),"")</f>
        <v/>
      </c>
      <c r="L106" s="1" t="n"/>
      <c r="M106" s="1" t="n"/>
    </row>
    <row r="107">
      <c r="A107" s="18" t="n"/>
      <c r="B107" s="19" t="n"/>
      <c r="C107" s="19" t="n"/>
      <c r="D107" s="20" t="n"/>
      <c r="E107" s="19" t="n"/>
      <c r="F107" s="21" t="n"/>
      <c r="G107" s="21" t="n"/>
      <c r="H107" s="18" t="n"/>
      <c r="I107" s="21" t="n"/>
      <c r="J107" s="21" t="n"/>
      <c r="K107" s="22">
        <f>IF(AND($I107="Não",$H107&lt;&gt;"",$H107&lt;=TODAY()+7),COUNTIFS($H$5:$H$204,"&lt;"&amp;$H107,$I$5:$I$204,"Não",$H$5:$H$204,"&lt;="&amp;TODAY()+7)+COUNTIFS($H$5:$H107,$H107,$I$5:$I107,"Não"),"")</f>
        <v/>
      </c>
      <c r="L107" s="1" t="n"/>
      <c r="M107" s="1" t="n"/>
    </row>
    <row r="108">
      <c r="A108" s="18" t="n"/>
      <c r="B108" s="19" t="n"/>
      <c r="C108" s="19" t="n"/>
      <c r="D108" s="20" t="n"/>
      <c r="E108" s="19" t="n"/>
      <c r="F108" s="21" t="n"/>
      <c r="G108" s="21" t="n"/>
      <c r="H108" s="18" t="n"/>
      <c r="I108" s="21" t="n"/>
      <c r="J108" s="21" t="n"/>
      <c r="K108" s="22">
        <f>IF(AND($I108="Não",$H108&lt;&gt;"",$H108&lt;=TODAY()+7),COUNTIFS($H$5:$H$204,"&lt;"&amp;$H108,$I$5:$I$204,"Não",$H$5:$H$204,"&lt;="&amp;TODAY()+7)+COUNTIFS($H$5:$H108,$H108,$I$5:$I108,"Não"),"")</f>
        <v/>
      </c>
      <c r="L108" s="1" t="n"/>
      <c r="M108" s="1" t="n"/>
    </row>
    <row r="109">
      <c r="A109" s="18" t="n"/>
      <c r="B109" s="19" t="n"/>
      <c r="C109" s="19" t="n"/>
      <c r="D109" s="20" t="n"/>
      <c r="E109" s="19" t="n"/>
      <c r="F109" s="21" t="n"/>
      <c r="G109" s="21" t="n"/>
      <c r="H109" s="18" t="n"/>
      <c r="I109" s="21" t="n"/>
      <c r="J109" s="21" t="n"/>
      <c r="K109" s="22">
        <f>IF(AND($I109="Não",$H109&lt;&gt;"",$H109&lt;=TODAY()+7),COUNTIFS($H$5:$H$204,"&lt;"&amp;$H109,$I$5:$I$204,"Não",$H$5:$H$204,"&lt;="&amp;TODAY()+7)+COUNTIFS($H$5:$H109,$H109,$I$5:$I109,"Não"),"")</f>
        <v/>
      </c>
      <c r="L109" s="1" t="n"/>
      <c r="M109" s="1" t="n"/>
    </row>
    <row r="110">
      <c r="A110" s="18" t="n"/>
      <c r="B110" s="19" t="n"/>
      <c r="C110" s="19" t="n"/>
      <c r="D110" s="20" t="n"/>
      <c r="E110" s="19" t="n"/>
      <c r="F110" s="21" t="n"/>
      <c r="G110" s="21" t="n"/>
      <c r="H110" s="18" t="n"/>
      <c r="I110" s="21" t="n"/>
      <c r="J110" s="21" t="n"/>
      <c r="K110" s="22">
        <f>IF(AND($I110="Não",$H110&lt;&gt;"",$H110&lt;=TODAY()+7),COUNTIFS($H$5:$H$204,"&lt;"&amp;$H110,$I$5:$I$204,"Não",$H$5:$H$204,"&lt;="&amp;TODAY()+7)+COUNTIFS($H$5:$H110,$H110,$I$5:$I110,"Não"),"")</f>
        <v/>
      </c>
      <c r="L110" s="1" t="n"/>
      <c r="M110" s="1" t="n"/>
    </row>
    <row r="111">
      <c r="A111" s="18" t="n"/>
      <c r="B111" s="19" t="n"/>
      <c r="C111" s="19" t="n"/>
      <c r="D111" s="20" t="n"/>
      <c r="E111" s="19" t="n"/>
      <c r="F111" s="21" t="n"/>
      <c r="G111" s="21" t="n"/>
      <c r="H111" s="18" t="n"/>
      <c r="I111" s="21" t="n"/>
      <c r="J111" s="21" t="n"/>
      <c r="K111" s="22">
        <f>IF(AND($I111="Não",$H111&lt;&gt;"",$H111&lt;=TODAY()+7),COUNTIFS($H$5:$H$204,"&lt;"&amp;$H111,$I$5:$I$204,"Não",$H$5:$H$204,"&lt;="&amp;TODAY()+7)+COUNTIFS($H$5:$H111,$H111,$I$5:$I111,"Não"),"")</f>
        <v/>
      </c>
      <c r="L111" s="1" t="n"/>
      <c r="M111" s="1" t="n"/>
    </row>
    <row r="112">
      <c r="A112" s="18" t="n"/>
      <c r="B112" s="19" t="n"/>
      <c r="C112" s="19" t="n"/>
      <c r="D112" s="20" t="n"/>
      <c r="E112" s="19" t="n"/>
      <c r="F112" s="21" t="n"/>
      <c r="G112" s="21" t="n"/>
      <c r="H112" s="18" t="n"/>
      <c r="I112" s="21" t="n"/>
      <c r="J112" s="21" t="n"/>
      <c r="K112" s="22">
        <f>IF(AND($I112="Não",$H112&lt;&gt;"",$H112&lt;=TODAY()+7),COUNTIFS($H$5:$H$204,"&lt;"&amp;$H112,$I$5:$I$204,"Não",$H$5:$H$204,"&lt;="&amp;TODAY()+7)+COUNTIFS($H$5:$H112,$H112,$I$5:$I112,"Não"),"")</f>
        <v/>
      </c>
      <c r="L112" s="1" t="n"/>
      <c r="M112" s="1" t="n"/>
    </row>
    <row r="113">
      <c r="A113" s="18" t="n"/>
      <c r="B113" s="19" t="n"/>
      <c r="C113" s="19" t="n"/>
      <c r="D113" s="20" t="n"/>
      <c r="E113" s="19" t="n"/>
      <c r="F113" s="21" t="n"/>
      <c r="G113" s="21" t="n"/>
      <c r="H113" s="18" t="n"/>
      <c r="I113" s="21" t="n"/>
      <c r="J113" s="21" t="n"/>
      <c r="K113" s="22">
        <f>IF(AND($I113="Não",$H113&lt;&gt;"",$H113&lt;=TODAY()+7),COUNTIFS($H$5:$H$204,"&lt;"&amp;$H113,$I$5:$I$204,"Não",$H$5:$H$204,"&lt;="&amp;TODAY()+7)+COUNTIFS($H$5:$H113,$H113,$I$5:$I113,"Não"),"")</f>
        <v/>
      </c>
      <c r="L113" s="1" t="n"/>
      <c r="M113" s="1" t="n"/>
    </row>
    <row r="114">
      <c r="A114" s="18" t="n"/>
      <c r="B114" s="19" t="n"/>
      <c r="C114" s="19" t="n"/>
      <c r="D114" s="20" t="n"/>
      <c r="E114" s="19" t="n"/>
      <c r="F114" s="21" t="n"/>
      <c r="G114" s="21" t="n"/>
      <c r="H114" s="18" t="n"/>
      <c r="I114" s="21" t="n"/>
      <c r="J114" s="21" t="n"/>
      <c r="K114" s="22">
        <f>IF(AND($I114="Não",$H114&lt;&gt;"",$H114&lt;=TODAY()+7),COUNTIFS($H$5:$H$204,"&lt;"&amp;$H114,$I$5:$I$204,"Não",$H$5:$H$204,"&lt;="&amp;TODAY()+7)+COUNTIFS($H$5:$H114,$H114,$I$5:$I114,"Não"),"")</f>
        <v/>
      </c>
      <c r="L114" s="1" t="n"/>
      <c r="M114" s="1" t="n"/>
    </row>
    <row r="115">
      <c r="A115" s="18" t="n"/>
      <c r="B115" s="19" t="n"/>
      <c r="C115" s="19" t="n"/>
      <c r="D115" s="20" t="n"/>
      <c r="E115" s="19" t="n"/>
      <c r="F115" s="21" t="n"/>
      <c r="G115" s="21" t="n"/>
      <c r="H115" s="18" t="n"/>
      <c r="I115" s="21" t="n"/>
      <c r="J115" s="21" t="n"/>
      <c r="K115" s="22">
        <f>IF(AND($I115="Não",$H115&lt;&gt;"",$H115&lt;=TODAY()+7),COUNTIFS($H$5:$H$204,"&lt;"&amp;$H115,$I$5:$I$204,"Não",$H$5:$H$204,"&lt;="&amp;TODAY()+7)+COUNTIFS($H$5:$H115,$H115,$I$5:$I115,"Não"),"")</f>
        <v/>
      </c>
      <c r="L115" s="1" t="n"/>
      <c r="M115" s="1" t="n"/>
    </row>
    <row r="116">
      <c r="A116" s="18" t="n"/>
      <c r="B116" s="19" t="n"/>
      <c r="C116" s="19" t="n"/>
      <c r="D116" s="20" t="n"/>
      <c r="E116" s="19" t="n"/>
      <c r="F116" s="21" t="n"/>
      <c r="G116" s="21" t="n"/>
      <c r="H116" s="18" t="n"/>
      <c r="I116" s="21" t="n"/>
      <c r="J116" s="21" t="n"/>
      <c r="K116" s="22">
        <f>IF(AND($I116="Não",$H116&lt;&gt;"",$H116&lt;=TODAY()+7),COUNTIFS($H$5:$H$204,"&lt;"&amp;$H116,$I$5:$I$204,"Não",$H$5:$H$204,"&lt;="&amp;TODAY()+7)+COUNTIFS($H$5:$H116,$H116,$I$5:$I116,"Não"),"")</f>
        <v/>
      </c>
      <c r="L116" s="1" t="n"/>
      <c r="M116" s="1" t="n"/>
    </row>
    <row r="117">
      <c r="A117" s="18" t="n"/>
      <c r="B117" s="19" t="n"/>
      <c r="C117" s="19" t="n"/>
      <c r="D117" s="20" t="n"/>
      <c r="E117" s="19" t="n"/>
      <c r="F117" s="21" t="n"/>
      <c r="G117" s="21" t="n"/>
      <c r="H117" s="18" t="n"/>
      <c r="I117" s="21" t="n"/>
      <c r="J117" s="21" t="n"/>
      <c r="K117" s="22">
        <f>IF(AND($I117="Não",$H117&lt;&gt;"",$H117&lt;=TODAY()+7),COUNTIFS($H$5:$H$204,"&lt;"&amp;$H117,$I$5:$I$204,"Não",$H$5:$H$204,"&lt;="&amp;TODAY()+7)+COUNTIFS($H$5:$H117,$H117,$I$5:$I117,"Não"),"")</f>
        <v/>
      </c>
      <c r="L117" s="1" t="n"/>
      <c r="M117" s="1" t="n"/>
    </row>
    <row r="118">
      <c r="A118" s="18" t="n"/>
      <c r="B118" s="19" t="n"/>
      <c r="C118" s="19" t="n"/>
      <c r="D118" s="20" t="n"/>
      <c r="E118" s="19" t="n"/>
      <c r="F118" s="21" t="n"/>
      <c r="G118" s="21" t="n"/>
      <c r="H118" s="18" t="n"/>
      <c r="I118" s="21" t="n"/>
      <c r="J118" s="21" t="n"/>
      <c r="K118" s="22">
        <f>IF(AND($I118="Não",$H118&lt;&gt;"",$H118&lt;=TODAY()+7),COUNTIFS($H$5:$H$204,"&lt;"&amp;$H118,$I$5:$I$204,"Não",$H$5:$H$204,"&lt;="&amp;TODAY()+7)+COUNTIFS($H$5:$H118,$H118,$I$5:$I118,"Não"),"")</f>
        <v/>
      </c>
      <c r="L118" s="1" t="n"/>
      <c r="M118" s="1" t="n"/>
    </row>
    <row r="119">
      <c r="A119" s="18" t="n"/>
      <c r="B119" s="19" t="n"/>
      <c r="C119" s="19" t="n"/>
      <c r="D119" s="20" t="n"/>
      <c r="E119" s="19" t="n"/>
      <c r="F119" s="21" t="n"/>
      <c r="G119" s="21" t="n"/>
      <c r="H119" s="18" t="n"/>
      <c r="I119" s="21" t="n"/>
      <c r="J119" s="21" t="n"/>
      <c r="K119" s="22">
        <f>IF(AND($I119="Não",$H119&lt;&gt;"",$H119&lt;=TODAY()+7),COUNTIFS($H$5:$H$204,"&lt;"&amp;$H119,$I$5:$I$204,"Não",$H$5:$H$204,"&lt;="&amp;TODAY()+7)+COUNTIFS($H$5:$H119,$H119,$I$5:$I119,"Não"),"")</f>
        <v/>
      </c>
      <c r="L119" s="1" t="n"/>
      <c r="M119" s="1" t="n"/>
    </row>
    <row r="120">
      <c r="A120" s="18" t="n"/>
      <c r="B120" s="19" t="n"/>
      <c r="C120" s="19" t="n"/>
      <c r="D120" s="20" t="n"/>
      <c r="E120" s="19" t="n"/>
      <c r="F120" s="21" t="n"/>
      <c r="G120" s="21" t="n"/>
      <c r="H120" s="18" t="n"/>
      <c r="I120" s="21" t="n"/>
      <c r="J120" s="21" t="n"/>
      <c r="K120" s="22">
        <f>IF(AND($I120="Não",$H120&lt;&gt;"",$H120&lt;=TODAY()+7),COUNTIFS($H$5:$H$204,"&lt;"&amp;$H120,$I$5:$I$204,"Não",$H$5:$H$204,"&lt;="&amp;TODAY()+7)+COUNTIFS($H$5:$H120,$H120,$I$5:$I120,"Não"),"")</f>
        <v/>
      </c>
      <c r="L120" s="1" t="n"/>
      <c r="M120" s="1" t="n"/>
    </row>
    <row r="121">
      <c r="A121" s="18" t="n"/>
      <c r="B121" s="19" t="n"/>
      <c r="C121" s="19" t="n"/>
      <c r="D121" s="20" t="n"/>
      <c r="E121" s="19" t="n"/>
      <c r="F121" s="21" t="n"/>
      <c r="G121" s="21" t="n"/>
      <c r="H121" s="18" t="n"/>
      <c r="I121" s="21" t="n"/>
      <c r="J121" s="21" t="n"/>
      <c r="K121" s="22">
        <f>IF(AND($I121="Não",$H121&lt;&gt;"",$H121&lt;=TODAY()+7),COUNTIFS($H$5:$H$204,"&lt;"&amp;$H121,$I$5:$I$204,"Não",$H$5:$H$204,"&lt;="&amp;TODAY()+7)+COUNTIFS($H$5:$H121,$H121,$I$5:$I121,"Não"),"")</f>
        <v/>
      </c>
      <c r="L121" s="1" t="n"/>
      <c r="M121" s="1" t="n"/>
    </row>
    <row r="122">
      <c r="A122" s="18" t="n"/>
      <c r="B122" s="19" t="n"/>
      <c r="C122" s="19" t="n"/>
      <c r="D122" s="20" t="n"/>
      <c r="E122" s="19" t="n"/>
      <c r="F122" s="21" t="n"/>
      <c r="G122" s="21" t="n"/>
      <c r="H122" s="18" t="n"/>
      <c r="I122" s="21" t="n"/>
      <c r="J122" s="21" t="n"/>
      <c r="K122" s="22">
        <f>IF(AND($I122="Não",$H122&lt;&gt;"",$H122&lt;=TODAY()+7),COUNTIFS($H$5:$H$204,"&lt;"&amp;$H122,$I$5:$I$204,"Não",$H$5:$H$204,"&lt;="&amp;TODAY()+7)+COUNTIFS($H$5:$H122,$H122,$I$5:$I122,"Não"),"")</f>
        <v/>
      </c>
      <c r="L122" s="1" t="n"/>
      <c r="M122" s="1" t="n"/>
    </row>
    <row r="123">
      <c r="A123" s="18" t="n"/>
      <c r="B123" s="19" t="n"/>
      <c r="C123" s="19" t="n"/>
      <c r="D123" s="20" t="n"/>
      <c r="E123" s="19" t="n"/>
      <c r="F123" s="21" t="n"/>
      <c r="G123" s="21" t="n"/>
      <c r="H123" s="18" t="n"/>
      <c r="I123" s="21" t="n"/>
      <c r="J123" s="21" t="n"/>
      <c r="K123" s="22">
        <f>IF(AND($I123="Não",$H123&lt;&gt;"",$H123&lt;=TODAY()+7),COUNTIFS($H$5:$H$204,"&lt;"&amp;$H123,$I$5:$I$204,"Não",$H$5:$H$204,"&lt;="&amp;TODAY()+7)+COUNTIFS($H$5:$H123,$H123,$I$5:$I123,"Não"),"")</f>
        <v/>
      </c>
      <c r="L123" s="1" t="n"/>
      <c r="M123" s="1" t="n"/>
    </row>
    <row r="124">
      <c r="A124" s="18" t="n"/>
      <c r="B124" s="19" t="n"/>
      <c r="C124" s="19" t="n"/>
      <c r="D124" s="20" t="n"/>
      <c r="E124" s="19" t="n"/>
      <c r="F124" s="21" t="n"/>
      <c r="G124" s="21" t="n"/>
      <c r="H124" s="18" t="n"/>
      <c r="I124" s="21" t="n"/>
      <c r="J124" s="21" t="n"/>
      <c r="K124" s="22">
        <f>IF(AND($I124="Não",$H124&lt;&gt;"",$H124&lt;=TODAY()+7),COUNTIFS($H$5:$H$204,"&lt;"&amp;$H124,$I$5:$I$204,"Não",$H$5:$H$204,"&lt;="&amp;TODAY()+7)+COUNTIFS($H$5:$H124,$H124,$I$5:$I124,"Não"),"")</f>
        <v/>
      </c>
      <c r="L124" s="1" t="n"/>
      <c r="M124" s="1" t="n"/>
    </row>
    <row r="125">
      <c r="A125" s="18" t="n"/>
      <c r="B125" s="19" t="n"/>
      <c r="C125" s="19" t="n"/>
      <c r="D125" s="20" t="n"/>
      <c r="E125" s="19" t="n"/>
      <c r="F125" s="21" t="n"/>
      <c r="G125" s="21" t="n"/>
      <c r="H125" s="18" t="n"/>
      <c r="I125" s="21" t="n"/>
      <c r="J125" s="21" t="n"/>
      <c r="K125" s="22">
        <f>IF(AND($I125="Não",$H125&lt;&gt;"",$H125&lt;=TODAY()+7),COUNTIFS($H$5:$H$204,"&lt;"&amp;$H125,$I$5:$I$204,"Não",$H$5:$H$204,"&lt;="&amp;TODAY()+7)+COUNTIFS($H$5:$H125,$H125,$I$5:$I125,"Não"),"")</f>
        <v/>
      </c>
      <c r="L125" s="1" t="n"/>
      <c r="M125" s="1" t="n"/>
    </row>
    <row r="126">
      <c r="A126" s="18" t="n"/>
      <c r="B126" s="19" t="n"/>
      <c r="C126" s="19" t="n"/>
      <c r="D126" s="20" t="n"/>
      <c r="E126" s="19" t="n"/>
      <c r="F126" s="21" t="n"/>
      <c r="G126" s="21" t="n"/>
      <c r="H126" s="18" t="n"/>
      <c r="I126" s="21" t="n"/>
      <c r="J126" s="21" t="n"/>
      <c r="K126" s="22">
        <f>IF(AND($I126="Não",$H126&lt;&gt;"",$H126&lt;=TODAY()+7),COUNTIFS($H$5:$H$204,"&lt;"&amp;$H126,$I$5:$I$204,"Não",$H$5:$H$204,"&lt;="&amp;TODAY()+7)+COUNTIFS($H$5:$H126,$H126,$I$5:$I126,"Não"),"")</f>
        <v/>
      </c>
      <c r="L126" s="1" t="n"/>
      <c r="M126" s="1" t="n"/>
    </row>
    <row r="127">
      <c r="A127" s="18" t="n"/>
      <c r="B127" s="19" t="n"/>
      <c r="C127" s="19" t="n"/>
      <c r="D127" s="20" t="n"/>
      <c r="E127" s="19" t="n"/>
      <c r="F127" s="21" t="n"/>
      <c r="G127" s="21" t="n"/>
      <c r="H127" s="18" t="n"/>
      <c r="I127" s="21" t="n"/>
      <c r="J127" s="21" t="n"/>
      <c r="K127" s="22">
        <f>IF(AND($I127="Não",$H127&lt;&gt;"",$H127&lt;=TODAY()+7),COUNTIFS($H$5:$H$204,"&lt;"&amp;$H127,$I$5:$I$204,"Não",$H$5:$H$204,"&lt;="&amp;TODAY()+7)+COUNTIFS($H$5:$H127,$H127,$I$5:$I127,"Não"),"")</f>
        <v/>
      </c>
      <c r="L127" s="1" t="n"/>
      <c r="M127" s="1" t="n"/>
    </row>
    <row r="128">
      <c r="A128" s="18" t="n"/>
      <c r="B128" s="19" t="n"/>
      <c r="C128" s="19" t="n"/>
      <c r="D128" s="20" t="n"/>
      <c r="E128" s="19" t="n"/>
      <c r="F128" s="21" t="n"/>
      <c r="G128" s="21" t="n"/>
      <c r="H128" s="18" t="n"/>
      <c r="I128" s="21" t="n"/>
      <c r="J128" s="21" t="n"/>
      <c r="K128" s="22">
        <f>IF(AND($I128="Não",$H128&lt;&gt;"",$H128&lt;=TODAY()+7),COUNTIFS($H$5:$H$204,"&lt;"&amp;$H128,$I$5:$I$204,"Não",$H$5:$H$204,"&lt;="&amp;TODAY()+7)+COUNTIFS($H$5:$H128,$H128,$I$5:$I128,"Não"),"")</f>
        <v/>
      </c>
      <c r="L128" s="1" t="n"/>
      <c r="M128" s="1" t="n"/>
    </row>
    <row r="129">
      <c r="A129" s="18" t="n"/>
      <c r="B129" s="19" t="n"/>
      <c r="C129" s="19" t="n"/>
      <c r="D129" s="20" t="n"/>
      <c r="E129" s="19" t="n"/>
      <c r="F129" s="21" t="n"/>
      <c r="G129" s="21" t="n"/>
      <c r="H129" s="18" t="n"/>
      <c r="I129" s="21" t="n"/>
      <c r="J129" s="21" t="n"/>
      <c r="K129" s="22">
        <f>IF(AND($I129="Não",$H129&lt;&gt;"",$H129&lt;=TODAY()+7),COUNTIFS($H$5:$H$204,"&lt;"&amp;$H129,$I$5:$I$204,"Não",$H$5:$H$204,"&lt;="&amp;TODAY()+7)+COUNTIFS($H$5:$H129,$H129,$I$5:$I129,"Não"),"")</f>
        <v/>
      </c>
      <c r="L129" s="1" t="n"/>
      <c r="M129" s="1" t="n"/>
    </row>
    <row r="130">
      <c r="A130" s="18" t="n"/>
      <c r="B130" s="19" t="n"/>
      <c r="C130" s="19" t="n"/>
      <c r="D130" s="20" t="n"/>
      <c r="E130" s="19" t="n"/>
      <c r="F130" s="21" t="n"/>
      <c r="G130" s="21" t="n"/>
      <c r="H130" s="18" t="n"/>
      <c r="I130" s="21" t="n"/>
      <c r="J130" s="21" t="n"/>
      <c r="K130" s="22">
        <f>IF(AND($I130="Não",$H130&lt;&gt;"",$H130&lt;=TODAY()+7),COUNTIFS($H$5:$H$204,"&lt;"&amp;$H130,$I$5:$I$204,"Não",$H$5:$H$204,"&lt;="&amp;TODAY()+7)+COUNTIFS($H$5:$H130,$H130,$I$5:$I130,"Não"),"")</f>
        <v/>
      </c>
      <c r="L130" s="1" t="n"/>
      <c r="M130" s="1" t="n"/>
    </row>
    <row r="131">
      <c r="A131" s="18" t="n"/>
      <c r="B131" s="19" t="n"/>
      <c r="C131" s="19" t="n"/>
      <c r="D131" s="20" t="n"/>
      <c r="E131" s="19" t="n"/>
      <c r="F131" s="21" t="n"/>
      <c r="G131" s="21" t="n"/>
      <c r="H131" s="18" t="n"/>
      <c r="I131" s="21" t="n"/>
      <c r="J131" s="21" t="n"/>
      <c r="K131" s="22">
        <f>IF(AND($I131="Não",$H131&lt;&gt;"",$H131&lt;=TODAY()+7),COUNTIFS($H$5:$H$204,"&lt;"&amp;$H131,$I$5:$I$204,"Não",$H$5:$H$204,"&lt;="&amp;TODAY()+7)+COUNTIFS($H$5:$H131,$H131,$I$5:$I131,"Não"),"")</f>
        <v/>
      </c>
      <c r="L131" s="1" t="n"/>
      <c r="M131" s="1" t="n"/>
    </row>
    <row r="132">
      <c r="A132" s="18" t="n"/>
      <c r="B132" s="19" t="n"/>
      <c r="C132" s="19" t="n"/>
      <c r="D132" s="20" t="n"/>
      <c r="E132" s="19" t="n"/>
      <c r="F132" s="21" t="n"/>
      <c r="G132" s="21" t="n"/>
      <c r="H132" s="18" t="n"/>
      <c r="I132" s="21" t="n"/>
      <c r="J132" s="21" t="n"/>
      <c r="K132" s="22">
        <f>IF(AND($I132="Não",$H132&lt;&gt;"",$H132&lt;=TODAY()+7),COUNTIFS($H$5:$H$204,"&lt;"&amp;$H132,$I$5:$I$204,"Não",$H$5:$H$204,"&lt;="&amp;TODAY()+7)+COUNTIFS($H$5:$H132,$H132,$I$5:$I132,"Não"),"")</f>
        <v/>
      </c>
      <c r="L132" s="1" t="n"/>
      <c r="M132" s="1" t="n"/>
    </row>
    <row r="133">
      <c r="A133" s="18" t="n"/>
      <c r="B133" s="19" t="n"/>
      <c r="C133" s="19" t="n"/>
      <c r="D133" s="20" t="n"/>
      <c r="E133" s="19" t="n"/>
      <c r="F133" s="21" t="n"/>
      <c r="G133" s="21" t="n"/>
      <c r="H133" s="18" t="n"/>
      <c r="I133" s="21" t="n"/>
      <c r="J133" s="21" t="n"/>
      <c r="K133" s="22">
        <f>IF(AND($I133="Não",$H133&lt;&gt;"",$H133&lt;=TODAY()+7),COUNTIFS($H$5:$H$204,"&lt;"&amp;$H133,$I$5:$I$204,"Não",$H$5:$H$204,"&lt;="&amp;TODAY()+7)+COUNTIFS($H$5:$H133,$H133,$I$5:$I133,"Não"),"")</f>
        <v/>
      </c>
      <c r="L133" s="1" t="n"/>
      <c r="M133" s="1" t="n"/>
    </row>
    <row r="134">
      <c r="A134" s="18" t="n"/>
      <c r="B134" s="19" t="n"/>
      <c r="C134" s="19" t="n"/>
      <c r="D134" s="20" t="n"/>
      <c r="E134" s="19" t="n"/>
      <c r="F134" s="21" t="n"/>
      <c r="G134" s="21" t="n"/>
      <c r="H134" s="18" t="n"/>
      <c r="I134" s="21" t="n"/>
      <c r="J134" s="21" t="n"/>
      <c r="K134" s="22">
        <f>IF(AND($I134="Não",$H134&lt;&gt;"",$H134&lt;=TODAY()+7),COUNTIFS($H$5:$H$204,"&lt;"&amp;$H134,$I$5:$I$204,"Não",$H$5:$H$204,"&lt;="&amp;TODAY()+7)+COUNTIFS($H$5:$H134,$H134,$I$5:$I134,"Não"),"")</f>
        <v/>
      </c>
      <c r="L134" s="1" t="n"/>
      <c r="M134" s="1" t="n"/>
    </row>
    <row r="135">
      <c r="A135" s="18" t="n"/>
      <c r="B135" s="19" t="n"/>
      <c r="C135" s="19" t="n"/>
      <c r="D135" s="20" t="n"/>
      <c r="E135" s="19" t="n"/>
      <c r="F135" s="21" t="n"/>
      <c r="G135" s="21" t="n"/>
      <c r="H135" s="18" t="n"/>
      <c r="I135" s="21" t="n"/>
      <c r="J135" s="21" t="n"/>
      <c r="K135" s="22">
        <f>IF(AND($I135="Não",$H135&lt;&gt;"",$H135&lt;=TODAY()+7),COUNTIFS($H$5:$H$204,"&lt;"&amp;$H135,$I$5:$I$204,"Não",$H$5:$H$204,"&lt;="&amp;TODAY()+7)+COUNTIFS($H$5:$H135,$H135,$I$5:$I135,"Não"),"")</f>
        <v/>
      </c>
      <c r="L135" s="1" t="n"/>
      <c r="M135" s="1" t="n"/>
    </row>
    <row r="136">
      <c r="A136" s="18" t="n"/>
      <c r="B136" s="19" t="n"/>
      <c r="C136" s="19" t="n"/>
      <c r="D136" s="20" t="n"/>
      <c r="E136" s="19" t="n"/>
      <c r="F136" s="21" t="n"/>
      <c r="G136" s="21" t="n"/>
      <c r="H136" s="18" t="n"/>
      <c r="I136" s="21" t="n"/>
      <c r="J136" s="21" t="n"/>
      <c r="K136" s="22">
        <f>IF(AND($I136="Não",$H136&lt;&gt;"",$H136&lt;=TODAY()+7),COUNTIFS($H$5:$H$204,"&lt;"&amp;$H136,$I$5:$I$204,"Não",$H$5:$H$204,"&lt;="&amp;TODAY()+7)+COUNTIFS($H$5:$H136,$H136,$I$5:$I136,"Não"),"")</f>
        <v/>
      </c>
      <c r="L136" s="1" t="n"/>
      <c r="M136" s="1" t="n"/>
    </row>
    <row r="137">
      <c r="A137" s="18" t="n"/>
      <c r="B137" s="19" t="n"/>
      <c r="C137" s="19" t="n"/>
      <c r="D137" s="20" t="n"/>
      <c r="E137" s="19" t="n"/>
      <c r="F137" s="21" t="n"/>
      <c r="G137" s="21" t="n"/>
      <c r="H137" s="18" t="n"/>
      <c r="I137" s="21" t="n"/>
      <c r="J137" s="21" t="n"/>
      <c r="K137" s="22">
        <f>IF(AND($I137="Não",$H137&lt;&gt;"",$H137&lt;=TODAY()+7),COUNTIFS($H$5:$H$204,"&lt;"&amp;$H137,$I$5:$I$204,"Não",$H$5:$H$204,"&lt;="&amp;TODAY()+7)+COUNTIFS($H$5:$H137,$H137,$I$5:$I137,"Não"),"")</f>
        <v/>
      </c>
      <c r="L137" s="1" t="n"/>
      <c r="M137" s="1" t="n"/>
    </row>
    <row r="138">
      <c r="A138" s="18" t="n"/>
      <c r="B138" s="19" t="n"/>
      <c r="C138" s="19" t="n"/>
      <c r="D138" s="20" t="n"/>
      <c r="E138" s="19" t="n"/>
      <c r="F138" s="21" t="n"/>
      <c r="G138" s="21" t="n"/>
      <c r="H138" s="18" t="n"/>
      <c r="I138" s="21" t="n"/>
      <c r="J138" s="21" t="n"/>
      <c r="K138" s="22">
        <f>IF(AND($I138="Não",$H138&lt;&gt;"",$H138&lt;=TODAY()+7),COUNTIFS($H$5:$H$204,"&lt;"&amp;$H138,$I$5:$I$204,"Não",$H$5:$H$204,"&lt;="&amp;TODAY()+7)+COUNTIFS($H$5:$H138,$H138,$I$5:$I138,"Não"),"")</f>
        <v/>
      </c>
      <c r="L138" s="1" t="n"/>
      <c r="M138" s="1" t="n"/>
    </row>
    <row r="139">
      <c r="A139" s="18" t="n"/>
      <c r="B139" s="19" t="n"/>
      <c r="C139" s="19" t="n"/>
      <c r="D139" s="20" t="n"/>
      <c r="E139" s="19" t="n"/>
      <c r="F139" s="21" t="n"/>
      <c r="G139" s="21" t="n"/>
      <c r="H139" s="18" t="n"/>
      <c r="I139" s="21" t="n"/>
      <c r="J139" s="21" t="n"/>
      <c r="K139" s="22">
        <f>IF(AND($I139="Não",$H139&lt;&gt;"",$H139&lt;=TODAY()+7),COUNTIFS($H$5:$H$204,"&lt;"&amp;$H139,$I$5:$I$204,"Não",$H$5:$H$204,"&lt;="&amp;TODAY()+7)+COUNTIFS($H$5:$H139,$H139,$I$5:$I139,"Não"),"")</f>
        <v/>
      </c>
      <c r="L139" s="1" t="n"/>
      <c r="M139" s="1" t="n"/>
    </row>
    <row r="140">
      <c r="A140" s="18" t="n"/>
      <c r="B140" s="19" t="n"/>
      <c r="C140" s="19" t="n"/>
      <c r="D140" s="20" t="n"/>
      <c r="E140" s="19" t="n"/>
      <c r="F140" s="21" t="n"/>
      <c r="G140" s="21" t="n"/>
      <c r="H140" s="18" t="n"/>
      <c r="I140" s="21" t="n"/>
      <c r="J140" s="21" t="n"/>
      <c r="K140" s="22">
        <f>IF(AND($I140="Não",$H140&lt;&gt;"",$H140&lt;=TODAY()+7),COUNTIFS($H$5:$H$204,"&lt;"&amp;$H140,$I$5:$I$204,"Não",$H$5:$H$204,"&lt;="&amp;TODAY()+7)+COUNTIFS($H$5:$H140,$H140,$I$5:$I140,"Não"),"")</f>
        <v/>
      </c>
      <c r="L140" s="1" t="n"/>
      <c r="M140" s="1" t="n"/>
    </row>
    <row r="141">
      <c r="A141" s="18" t="n"/>
      <c r="B141" s="19" t="n"/>
      <c r="C141" s="19" t="n"/>
      <c r="D141" s="20" t="n"/>
      <c r="E141" s="19" t="n"/>
      <c r="F141" s="21" t="n"/>
      <c r="G141" s="21" t="n"/>
      <c r="H141" s="18" t="n"/>
      <c r="I141" s="21" t="n"/>
      <c r="J141" s="21" t="n"/>
      <c r="K141" s="22">
        <f>IF(AND($I141="Não",$H141&lt;&gt;"",$H141&lt;=TODAY()+7),COUNTIFS($H$5:$H$204,"&lt;"&amp;$H141,$I$5:$I$204,"Não",$H$5:$H$204,"&lt;="&amp;TODAY()+7)+COUNTIFS($H$5:$H141,$H141,$I$5:$I141,"Não"),"")</f>
        <v/>
      </c>
      <c r="L141" s="1" t="n"/>
      <c r="M141" s="1" t="n"/>
    </row>
    <row r="142">
      <c r="A142" s="18" t="n"/>
      <c r="B142" s="19" t="n"/>
      <c r="C142" s="19" t="n"/>
      <c r="D142" s="20" t="n"/>
      <c r="E142" s="19" t="n"/>
      <c r="F142" s="21" t="n"/>
      <c r="G142" s="21" t="n"/>
      <c r="H142" s="18" t="n"/>
      <c r="I142" s="21" t="n"/>
      <c r="J142" s="21" t="n"/>
      <c r="K142" s="22">
        <f>IF(AND($I142="Não",$H142&lt;&gt;"",$H142&lt;=TODAY()+7),COUNTIFS($H$5:$H$204,"&lt;"&amp;$H142,$I$5:$I$204,"Não",$H$5:$H$204,"&lt;="&amp;TODAY()+7)+COUNTIFS($H$5:$H142,$H142,$I$5:$I142,"Não"),"")</f>
        <v/>
      </c>
      <c r="L142" s="1" t="n"/>
      <c r="M142" s="1" t="n"/>
    </row>
    <row r="143">
      <c r="A143" s="18" t="n"/>
      <c r="B143" s="19" t="n"/>
      <c r="C143" s="19" t="n"/>
      <c r="D143" s="20" t="n"/>
      <c r="E143" s="19" t="n"/>
      <c r="F143" s="21" t="n"/>
      <c r="G143" s="21" t="n"/>
      <c r="H143" s="18" t="n"/>
      <c r="I143" s="21" t="n"/>
      <c r="J143" s="21" t="n"/>
      <c r="K143" s="22">
        <f>IF(AND($I143="Não",$H143&lt;&gt;"",$H143&lt;=TODAY()+7),COUNTIFS($H$5:$H$204,"&lt;"&amp;$H143,$I$5:$I$204,"Não",$H$5:$H$204,"&lt;="&amp;TODAY()+7)+COUNTIFS($H$5:$H143,$H143,$I$5:$I143,"Não"),"")</f>
        <v/>
      </c>
      <c r="L143" s="1" t="n"/>
      <c r="M143" s="1" t="n"/>
    </row>
    <row r="144">
      <c r="A144" s="18" t="n"/>
      <c r="B144" s="19" t="n"/>
      <c r="C144" s="19" t="n"/>
      <c r="D144" s="20" t="n"/>
      <c r="E144" s="19" t="n"/>
      <c r="F144" s="21" t="n"/>
      <c r="G144" s="21" t="n"/>
      <c r="H144" s="18" t="n"/>
      <c r="I144" s="21" t="n"/>
      <c r="J144" s="21" t="n"/>
      <c r="K144" s="22">
        <f>IF(AND($I144="Não",$H144&lt;&gt;"",$H144&lt;=TODAY()+7),COUNTIFS($H$5:$H$204,"&lt;"&amp;$H144,$I$5:$I$204,"Não",$H$5:$H$204,"&lt;="&amp;TODAY()+7)+COUNTIFS($H$5:$H144,$H144,$I$5:$I144,"Não"),"")</f>
        <v/>
      </c>
      <c r="L144" s="1" t="n"/>
      <c r="M144" s="1" t="n"/>
    </row>
    <row r="145">
      <c r="A145" s="18" t="n"/>
      <c r="B145" s="19" t="n"/>
      <c r="C145" s="19" t="n"/>
      <c r="D145" s="20" t="n"/>
      <c r="E145" s="19" t="n"/>
      <c r="F145" s="21" t="n"/>
      <c r="G145" s="21" t="n"/>
      <c r="H145" s="18" t="n"/>
      <c r="I145" s="21" t="n"/>
      <c r="J145" s="21" t="n"/>
      <c r="K145" s="22">
        <f>IF(AND($I145="Não",$H145&lt;&gt;"",$H145&lt;=TODAY()+7),COUNTIFS($H$5:$H$204,"&lt;"&amp;$H145,$I$5:$I$204,"Não",$H$5:$H$204,"&lt;="&amp;TODAY()+7)+COUNTIFS($H$5:$H145,$H145,$I$5:$I145,"Não"),"")</f>
        <v/>
      </c>
      <c r="L145" s="1" t="n"/>
      <c r="M145" s="1" t="n"/>
    </row>
    <row r="146">
      <c r="A146" s="18" t="n"/>
      <c r="B146" s="19" t="n"/>
      <c r="C146" s="19" t="n"/>
      <c r="D146" s="20" t="n"/>
      <c r="E146" s="19" t="n"/>
      <c r="F146" s="21" t="n"/>
      <c r="G146" s="21" t="n"/>
      <c r="H146" s="18" t="n"/>
      <c r="I146" s="21" t="n"/>
      <c r="J146" s="21" t="n"/>
      <c r="K146" s="22">
        <f>IF(AND($I146="Não",$H146&lt;&gt;"",$H146&lt;=TODAY()+7),COUNTIFS($H$5:$H$204,"&lt;"&amp;$H146,$I$5:$I$204,"Não",$H$5:$H$204,"&lt;="&amp;TODAY()+7)+COUNTIFS($H$5:$H146,$H146,$I$5:$I146,"Não"),"")</f>
        <v/>
      </c>
      <c r="L146" s="1" t="n"/>
      <c r="M146" s="1" t="n"/>
    </row>
    <row r="147">
      <c r="A147" s="18" t="n"/>
      <c r="B147" s="19" t="n"/>
      <c r="C147" s="19" t="n"/>
      <c r="D147" s="20" t="n"/>
      <c r="E147" s="19" t="n"/>
      <c r="F147" s="21" t="n"/>
      <c r="G147" s="21" t="n"/>
      <c r="H147" s="18" t="n"/>
      <c r="I147" s="21" t="n"/>
      <c r="J147" s="21" t="n"/>
      <c r="K147" s="22">
        <f>IF(AND($I147="Não",$H147&lt;&gt;"",$H147&lt;=TODAY()+7),COUNTIFS($H$5:$H$204,"&lt;"&amp;$H147,$I$5:$I$204,"Não",$H$5:$H$204,"&lt;="&amp;TODAY()+7)+COUNTIFS($H$5:$H147,$H147,$I$5:$I147,"Não"),"")</f>
        <v/>
      </c>
      <c r="L147" s="1" t="n"/>
      <c r="M147" s="1" t="n"/>
    </row>
    <row r="148">
      <c r="A148" s="18" t="n"/>
      <c r="B148" s="19" t="n"/>
      <c r="C148" s="19" t="n"/>
      <c r="D148" s="20" t="n"/>
      <c r="E148" s="19" t="n"/>
      <c r="F148" s="21" t="n"/>
      <c r="G148" s="21" t="n"/>
      <c r="H148" s="18" t="n"/>
      <c r="I148" s="21" t="n"/>
      <c r="J148" s="21" t="n"/>
      <c r="K148" s="22">
        <f>IF(AND($I148="Não",$H148&lt;&gt;"",$H148&lt;=TODAY()+7),COUNTIFS($H$5:$H$204,"&lt;"&amp;$H148,$I$5:$I$204,"Não",$H$5:$H$204,"&lt;="&amp;TODAY()+7)+COUNTIFS($H$5:$H148,$H148,$I$5:$I148,"Não"),"")</f>
        <v/>
      </c>
      <c r="L148" s="1" t="n"/>
      <c r="M148" s="1" t="n"/>
    </row>
    <row r="149">
      <c r="A149" s="18" t="n"/>
      <c r="B149" s="19" t="n"/>
      <c r="C149" s="19" t="n"/>
      <c r="D149" s="20" t="n"/>
      <c r="E149" s="19" t="n"/>
      <c r="F149" s="21" t="n"/>
      <c r="G149" s="21" t="n"/>
      <c r="H149" s="18" t="n"/>
      <c r="I149" s="21" t="n"/>
      <c r="J149" s="21" t="n"/>
      <c r="K149" s="22">
        <f>IF(AND($I149="Não",$H149&lt;&gt;"",$H149&lt;=TODAY()+7),COUNTIFS($H$5:$H$204,"&lt;"&amp;$H149,$I$5:$I$204,"Não",$H$5:$H$204,"&lt;="&amp;TODAY()+7)+COUNTIFS($H$5:$H149,$H149,$I$5:$I149,"Não"),"")</f>
        <v/>
      </c>
      <c r="L149" s="1" t="n"/>
      <c r="M149" s="1" t="n"/>
    </row>
    <row r="150">
      <c r="A150" s="18" t="n"/>
      <c r="B150" s="19" t="n"/>
      <c r="C150" s="19" t="n"/>
      <c r="D150" s="20" t="n"/>
      <c r="E150" s="19" t="n"/>
      <c r="F150" s="21" t="n"/>
      <c r="G150" s="21" t="n"/>
      <c r="H150" s="18" t="n"/>
      <c r="I150" s="21" t="n"/>
      <c r="J150" s="21" t="n"/>
      <c r="K150" s="22">
        <f>IF(AND($I150="Não",$H150&lt;&gt;"",$H150&lt;=TODAY()+7),COUNTIFS($H$5:$H$204,"&lt;"&amp;$H150,$I$5:$I$204,"Não",$H$5:$H$204,"&lt;="&amp;TODAY()+7)+COUNTIFS($H$5:$H150,$H150,$I$5:$I150,"Não"),"")</f>
        <v/>
      </c>
      <c r="L150" s="1" t="n"/>
      <c r="M150" s="1" t="n"/>
    </row>
    <row r="151">
      <c r="A151" s="18" t="n"/>
      <c r="B151" s="19" t="n"/>
      <c r="C151" s="19" t="n"/>
      <c r="D151" s="20" t="n"/>
      <c r="E151" s="19" t="n"/>
      <c r="F151" s="21" t="n"/>
      <c r="G151" s="21" t="n"/>
      <c r="H151" s="18" t="n"/>
      <c r="I151" s="21" t="n"/>
      <c r="J151" s="21" t="n"/>
      <c r="K151" s="22">
        <f>IF(AND($I151="Não",$H151&lt;&gt;"",$H151&lt;=TODAY()+7),COUNTIFS($H$5:$H$204,"&lt;"&amp;$H151,$I$5:$I$204,"Não",$H$5:$H$204,"&lt;="&amp;TODAY()+7)+COUNTIFS($H$5:$H151,$H151,$I$5:$I151,"Não"),"")</f>
        <v/>
      </c>
      <c r="L151" s="1" t="n"/>
      <c r="M151" s="1" t="n"/>
    </row>
    <row r="152">
      <c r="A152" s="18" t="n"/>
      <c r="B152" s="19" t="n"/>
      <c r="C152" s="19" t="n"/>
      <c r="D152" s="20" t="n"/>
      <c r="E152" s="19" t="n"/>
      <c r="F152" s="21" t="n"/>
      <c r="G152" s="21" t="n"/>
      <c r="H152" s="18" t="n"/>
      <c r="I152" s="21" t="n"/>
      <c r="J152" s="21" t="n"/>
      <c r="K152" s="22">
        <f>IF(AND($I152="Não",$H152&lt;&gt;"",$H152&lt;=TODAY()+7),COUNTIFS($H$5:$H$204,"&lt;"&amp;$H152,$I$5:$I$204,"Não",$H$5:$H$204,"&lt;="&amp;TODAY()+7)+COUNTIFS($H$5:$H152,$H152,$I$5:$I152,"Não"),"")</f>
        <v/>
      </c>
      <c r="L152" s="1" t="n"/>
      <c r="M152" s="1" t="n"/>
    </row>
    <row r="153">
      <c r="A153" s="18" t="n"/>
      <c r="B153" s="19" t="n"/>
      <c r="C153" s="19" t="n"/>
      <c r="D153" s="20" t="n"/>
      <c r="E153" s="19" t="n"/>
      <c r="F153" s="21" t="n"/>
      <c r="G153" s="21" t="n"/>
      <c r="H153" s="18" t="n"/>
      <c r="I153" s="21" t="n"/>
      <c r="J153" s="21" t="n"/>
      <c r="K153" s="22">
        <f>IF(AND($I153="Não",$H153&lt;&gt;"",$H153&lt;=TODAY()+7),COUNTIFS($H$5:$H$204,"&lt;"&amp;$H153,$I$5:$I$204,"Não",$H$5:$H$204,"&lt;="&amp;TODAY()+7)+COUNTIFS($H$5:$H153,$H153,$I$5:$I153,"Não"),"")</f>
        <v/>
      </c>
      <c r="L153" s="1" t="n"/>
      <c r="M153" s="1" t="n"/>
    </row>
    <row r="154">
      <c r="A154" s="18" t="n"/>
      <c r="B154" s="19" t="n"/>
      <c r="C154" s="19" t="n"/>
      <c r="D154" s="20" t="n"/>
      <c r="E154" s="19" t="n"/>
      <c r="F154" s="21" t="n"/>
      <c r="G154" s="21" t="n"/>
      <c r="H154" s="18" t="n"/>
      <c r="I154" s="21" t="n"/>
      <c r="J154" s="21" t="n"/>
      <c r="K154" s="22">
        <f>IF(AND($I154="Não",$H154&lt;&gt;"",$H154&lt;=TODAY()+7),COUNTIFS($H$5:$H$204,"&lt;"&amp;$H154,$I$5:$I$204,"Não",$H$5:$H$204,"&lt;="&amp;TODAY()+7)+COUNTIFS($H$5:$H154,$H154,$I$5:$I154,"Não"),"")</f>
        <v/>
      </c>
      <c r="L154" s="1" t="n"/>
      <c r="M154" s="1" t="n"/>
    </row>
    <row r="155">
      <c r="A155" s="18" t="n"/>
      <c r="B155" s="19" t="n"/>
      <c r="C155" s="19" t="n"/>
      <c r="D155" s="20" t="n"/>
      <c r="E155" s="19" t="n"/>
      <c r="F155" s="21" t="n"/>
      <c r="G155" s="21" t="n"/>
      <c r="H155" s="18" t="n"/>
      <c r="I155" s="21" t="n"/>
      <c r="J155" s="21" t="n"/>
      <c r="K155" s="22">
        <f>IF(AND($I155="Não",$H155&lt;&gt;"",$H155&lt;=TODAY()+7),COUNTIFS($H$5:$H$204,"&lt;"&amp;$H155,$I$5:$I$204,"Não",$H$5:$H$204,"&lt;="&amp;TODAY()+7)+COUNTIFS($H$5:$H155,$H155,$I$5:$I155,"Não"),"")</f>
        <v/>
      </c>
      <c r="L155" s="1" t="n"/>
      <c r="M155" s="1" t="n"/>
    </row>
    <row r="156">
      <c r="A156" s="18" t="n"/>
      <c r="B156" s="19" t="n"/>
      <c r="C156" s="19" t="n"/>
      <c r="D156" s="20" t="n"/>
      <c r="E156" s="19" t="n"/>
      <c r="F156" s="21" t="n"/>
      <c r="G156" s="21" t="n"/>
      <c r="H156" s="18" t="n"/>
      <c r="I156" s="21" t="n"/>
      <c r="J156" s="21" t="n"/>
      <c r="K156" s="22">
        <f>IF(AND($I156="Não",$H156&lt;&gt;"",$H156&lt;=TODAY()+7),COUNTIFS($H$5:$H$204,"&lt;"&amp;$H156,$I$5:$I$204,"Não",$H$5:$H$204,"&lt;="&amp;TODAY()+7)+COUNTIFS($H$5:$H156,$H156,$I$5:$I156,"Não"),"")</f>
        <v/>
      </c>
      <c r="L156" s="1" t="n"/>
      <c r="M156" s="1" t="n"/>
    </row>
    <row r="157">
      <c r="A157" s="18" t="n"/>
      <c r="B157" s="19" t="n"/>
      <c r="C157" s="19" t="n"/>
      <c r="D157" s="20" t="n"/>
      <c r="E157" s="19" t="n"/>
      <c r="F157" s="21" t="n"/>
      <c r="G157" s="21" t="n"/>
      <c r="H157" s="18" t="n"/>
      <c r="I157" s="21" t="n"/>
      <c r="J157" s="21" t="n"/>
      <c r="K157" s="22">
        <f>IF(AND($I157="Não",$H157&lt;&gt;"",$H157&lt;=TODAY()+7),COUNTIFS($H$5:$H$204,"&lt;"&amp;$H157,$I$5:$I$204,"Não",$H$5:$H$204,"&lt;="&amp;TODAY()+7)+COUNTIFS($H$5:$H157,$H157,$I$5:$I157,"Não"),"")</f>
        <v/>
      </c>
      <c r="L157" s="1" t="n"/>
      <c r="M157" s="1" t="n"/>
    </row>
    <row r="158">
      <c r="A158" s="18" t="n"/>
      <c r="B158" s="19" t="n"/>
      <c r="C158" s="19" t="n"/>
      <c r="D158" s="20" t="n"/>
      <c r="E158" s="19" t="n"/>
      <c r="F158" s="21" t="n"/>
      <c r="G158" s="21" t="n"/>
      <c r="H158" s="18" t="n"/>
      <c r="I158" s="21" t="n"/>
      <c r="J158" s="21" t="n"/>
      <c r="K158" s="22">
        <f>IF(AND($I158="Não",$H158&lt;&gt;"",$H158&lt;=TODAY()+7),COUNTIFS($H$5:$H$204,"&lt;"&amp;$H158,$I$5:$I$204,"Não",$H$5:$H$204,"&lt;="&amp;TODAY()+7)+COUNTIFS($H$5:$H158,$H158,$I$5:$I158,"Não"),"")</f>
        <v/>
      </c>
      <c r="L158" s="1" t="n"/>
      <c r="M158" s="1" t="n"/>
    </row>
    <row r="159">
      <c r="A159" s="18" t="n"/>
      <c r="B159" s="19" t="n"/>
      <c r="C159" s="19" t="n"/>
      <c r="D159" s="20" t="n"/>
      <c r="E159" s="19" t="n"/>
      <c r="F159" s="21" t="n"/>
      <c r="G159" s="21" t="n"/>
      <c r="H159" s="18" t="n"/>
      <c r="I159" s="21" t="n"/>
      <c r="J159" s="21" t="n"/>
      <c r="K159" s="22">
        <f>IF(AND($I159="Não",$H159&lt;&gt;"",$H159&lt;=TODAY()+7),COUNTIFS($H$5:$H$204,"&lt;"&amp;$H159,$I$5:$I$204,"Não",$H$5:$H$204,"&lt;="&amp;TODAY()+7)+COUNTIFS($H$5:$H159,$H159,$I$5:$I159,"Não"),"")</f>
        <v/>
      </c>
      <c r="L159" s="1" t="n"/>
      <c r="M159" s="1" t="n"/>
    </row>
    <row r="160">
      <c r="A160" s="18" t="n"/>
      <c r="B160" s="19" t="n"/>
      <c r="C160" s="19" t="n"/>
      <c r="D160" s="20" t="n"/>
      <c r="E160" s="19" t="n"/>
      <c r="F160" s="21" t="n"/>
      <c r="G160" s="21" t="n"/>
      <c r="H160" s="18" t="n"/>
      <c r="I160" s="21" t="n"/>
      <c r="J160" s="21" t="n"/>
      <c r="K160" s="22">
        <f>IF(AND($I160="Não",$H160&lt;&gt;"",$H160&lt;=TODAY()+7),COUNTIFS($H$5:$H$204,"&lt;"&amp;$H160,$I$5:$I$204,"Não",$H$5:$H$204,"&lt;="&amp;TODAY()+7)+COUNTIFS($H$5:$H160,$H160,$I$5:$I160,"Não"),"")</f>
        <v/>
      </c>
      <c r="L160" s="1" t="n"/>
      <c r="M160" s="1" t="n"/>
    </row>
    <row r="161">
      <c r="A161" s="18" t="n"/>
      <c r="B161" s="19" t="n"/>
      <c r="C161" s="19" t="n"/>
      <c r="D161" s="20" t="n"/>
      <c r="E161" s="19" t="n"/>
      <c r="F161" s="21" t="n"/>
      <c r="G161" s="21" t="n"/>
      <c r="H161" s="18" t="n"/>
      <c r="I161" s="21" t="n"/>
      <c r="J161" s="21" t="n"/>
      <c r="K161" s="22">
        <f>IF(AND($I161="Não",$H161&lt;&gt;"",$H161&lt;=TODAY()+7),COUNTIFS($H$5:$H$204,"&lt;"&amp;$H161,$I$5:$I$204,"Não",$H$5:$H$204,"&lt;="&amp;TODAY()+7)+COUNTIFS($H$5:$H161,$H161,$I$5:$I161,"Não"),"")</f>
        <v/>
      </c>
      <c r="L161" s="1" t="n"/>
      <c r="M161" s="1" t="n"/>
    </row>
    <row r="162">
      <c r="A162" s="18" t="n"/>
      <c r="B162" s="19" t="n"/>
      <c r="C162" s="19" t="n"/>
      <c r="D162" s="20" t="n"/>
      <c r="E162" s="19" t="n"/>
      <c r="F162" s="21" t="n"/>
      <c r="G162" s="21" t="n"/>
      <c r="H162" s="18" t="n"/>
      <c r="I162" s="21" t="n"/>
      <c r="J162" s="21" t="n"/>
      <c r="K162" s="22">
        <f>IF(AND($I162="Não",$H162&lt;&gt;"",$H162&lt;=TODAY()+7),COUNTIFS($H$5:$H$204,"&lt;"&amp;$H162,$I$5:$I$204,"Não",$H$5:$H$204,"&lt;="&amp;TODAY()+7)+COUNTIFS($H$5:$H162,$H162,$I$5:$I162,"Não"),"")</f>
        <v/>
      </c>
      <c r="L162" s="1" t="n"/>
      <c r="M162" s="1" t="n"/>
    </row>
    <row r="163">
      <c r="A163" s="18" t="n"/>
      <c r="B163" s="19" t="n"/>
      <c r="C163" s="19" t="n"/>
      <c r="D163" s="20" t="n"/>
      <c r="E163" s="19" t="n"/>
      <c r="F163" s="21" t="n"/>
      <c r="G163" s="21" t="n"/>
      <c r="H163" s="18" t="n"/>
      <c r="I163" s="21" t="n"/>
      <c r="J163" s="21" t="n"/>
      <c r="K163" s="22">
        <f>IF(AND($I163="Não",$H163&lt;&gt;"",$H163&lt;=TODAY()+7),COUNTIFS($H$5:$H$204,"&lt;"&amp;$H163,$I$5:$I$204,"Não",$H$5:$H$204,"&lt;="&amp;TODAY()+7)+COUNTIFS($H$5:$H163,$H163,$I$5:$I163,"Não"),"")</f>
        <v/>
      </c>
      <c r="L163" s="1" t="n"/>
      <c r="M163" s="1" t="n"/>
    </row>
    <row r="164">
      <c r="A164" s="18" t="n"/>
      <c r="B164" s="19" t="n"/>
      <c r="C164" s="19" t="n"/>
      <c r="D164" s="20" t="n"/>
      <c r="E164" s="19" t="n"/>
      <c r="F164" s="21" t="n"/>
      <c r="G164" s="21" t="n"/>
      <c r="H164" s="18" t="n"/>
      <c r="I164" s="21" t="n"/>
      <c r="J164" s="21" t="n"/>
      <c r="K164" s="22">
        <f>IF(AND($I164="Não",$H164&lt;&gt;"",$H164&lt;=TODAY()+7),COUNTIFS($H$5:$H$204,"&lt;"&amp;$H164,$I$5:$I$204,"Não",$H$5:$H$204,"&lt;="&amp;TODAY()+7)+COUNTIFS($H$5:$H164,$H164,$I$5:$I164,"Não"),"")</f>
        <v/>
      </c>
      <c r="L164" s="1" t="n"/>
      <c r="M164" s="1" t="n"/>
    </row>
    <row r="165">
      <c r="A165" s="18" t="n"/>
      <c r="B165" s="19" t="n"/>
      <c r="C165" s="19" t="n"/>
      <c r="D165" s="20" t="n"/>
      <c r="E165" s="19" t="n"/>
      <c r="F165" s="21" t="n"/>
      <c r="G165" s="21" t="n"/>
      <c r="H165" s="18" t="n"/>
      <c r="I165" s="21" t="n"/>
      <c r="J165" s="21" t="n"/>
      <c r="K165" s="22">
        <f>IF(AND($I165="Não",$H165&lt;&gt;"",$H165&lt;=TODAY()+7),COUNTIFS($H$5:$H$204,"&lt;"&amp;$H165,$I$5:$I$204,"Não",$H$5:$H$204,"&lt;="&amp;TODAY()+7)+COUNTIFS($H$5:$H165,$H165,$I$5:$I165,"Não"),"")</f>
        <v/>
      </c>
      <c r="L165" s="1" t="n"/>
      <c r="M165" s="1" t="n"/>
    </row>
    <row r="166">
      <c r="A166" s="18" t="n"/>
      <c r="B166" s="19" t="n"/>
      <c r="C166" s="19" t="n"/>
      <c r="D166" s="20" t="n"/>
      <c r="E166" s="19" t="n"/>
      <c r="F166" s="21" t="n"/>
      <c r="G166" s="21" t="n"/>
      <c r="H166" s="18" t="n"/>
      <c r="I166" s="21" t="n"/>
      <c r="J166" s="21" t="n"/>
      <c r="K166" s="22">
        <f>IF(AND($I166="Não",$H166&lt;&gt;"",$H166&lt;=TODAY()+7),COUNTIFS($H$5:$H$204,"&lt;"&amp;$H166,$I$5:$I$204,"Não",$H$5:$H$204,"&lt;="&amp;TODAY()+7)+COUNTIFS($H$5:$H166,$H166,$I$5:$I166,"Não"),"")</f>
        <v/>
      </c>
      <c r="L166" s="1" t="n"/>
      <c r="M166" s="1" t="n"/>
    </row>
    <row r="167">
      <c r="A167" s="18" t="n"/>
      <c r="B167" s="19" t="n"/>
      <c r="C167" s="19" t="n"/>
      <c r="D167" s="20" t="n"/>
      <c r="E167" s="19" t="n"/>
      <c r="F167" s="21" t="n"/>
      <c r="G167" s="21" t="n"/>
      <c r="H167" s="18" t="n"/>
      <c r="I167" s="21" t="n"/>
      <c r="J167" s="21" t="n"/>
      <c r="K167" s="22">
        <f>IF(AND($I167="Não",$H167&lt;&gt;"",$H167&lt;=TODAY()+7),COUNTIFS($H$5:$H$204,"&lt;"&amp;$H167,$I$5:$I$204,"Não",$H$5:$H$204,"&lt;="&amp;TODAY()+7)+COUNTIFS($H$5:$H167,$H167,$I$5:$I167,"Não"),"")</f>
        <v/>
      </c>
      <c r="L167" s="1" t="n"/>
      <c r="M167" s="1" t="n"/>
    </row>
    <row r="168">
      <c r="A168" s="18" t="n"/>
      <c r="B168" s="19" t="n"/>
      <c r="C168" s="19" t="n"/>
      <c r="D168" s="20" t="n"/>
      <c r="E168" s="19" t="n"/>
      <c r="F168" s="21" t="n"/>
      <c r="G168" s="21" t="n"/>
      <c r="H168" s="18" t="n"/>
      <c r="I168" s="21" t="n"/>
      <c r="J168" s="21" t="n"/>
      <c r="K168" s="22">
        <f>IF(AND($I168="Não",$H168&lt;&gt;"",$H168&lt;=TODAY()+7),COUNTIFS($H$5:$H$204,"&lt;"&amp;$H168,$I$5:$I$204,"Não",$H$5:$H$204,"&lt;="&amp;TODAY()+7)+COUNTIFS($H$5:$H168,$H168,$I$5:$I168,"Não"),"")</f>
        <v/>
      </c>
      <c r="L168" s="1" t="n"/>
      <c r="M168" s="1" t="n"/>
    </row>
    <row r="169">
      <c r="A169" s="18" t="n"/>
      <c r="B169" s="19" t="n"/>
      <c r="C169" s="19" t="n"/>
      <c r="D169" s="20" t="n"/>
      <c r="E169" s="19" t="n"/>
      <c r="F169" s="21" t="n"/>
      <c r="G169" s="21" t="n"/>
      <c r="H169" s="18" t="n"/>
      <c r="I169" s="21" t="n"/>
      <c r="J169" s="21" t="n"/>
      <c r="K169" s="22">
        <f>IF(AND($I169="Não",$H169&lt;&gt;"",$H169&lt;=TODAY()+7),COUNTIFS($H$5:$H$204,"&lt;"&amp;$H169,$I$5:$I$204,"Não",$H$5:$H$204,"&lt;="&amp;TODAY()+7)+COUNTIFS($H$5:$H169,$H169,$I$5:$I169,"Não"),"")</f>
        <v/>
      </c>
      <c r="L169" s="1" t="n"/>
      <c r="M169" s="1" t="n"/>
    </row>
    <row r="170">
      <c r="A170" s="18" t="n"/>
      <c r="B170" s="19" t="n"/>
      <c r="C170" s="19" t="n"/>
      <c r="D170" s="20" t="n"/>
      <c r="E170" s="19" t="n"/>
      <c r="F170" s="21" t="n"/>
      <c r="G170" s="21" t="n"/>
      <c r="H170" s="18" t="n"/>
      <c r="I170" s="21" t="n"/>
      <c r="J170" s="21" t="n"/>
      <c r="K170" s="22">
        <f>IF(AND($I170="Não",$H170&lt;&gt;"",$H170&lt;=TODAY()+7),COUNTIFS($H$5:$H$204,"&lt;"&amp;$H170,$I$5:$I$204,"Não",$H$5:$H$204,"&lt;="&amp;TODAY()+7)+COUNTIFS($H$5:$H170,$H170,$I$5:$I170,"Não"),"")</f>
        <v/>
      </c>
      <c r="L170" s="1" t="n"/>
      <c r="M170" s="1" t="n"/>
    </row>
    <row r="171">
      <c r="A171" s="18" t="n"/>
      <c r="B171" s="19" t="n"/>
      <c r="C171" s="19" t="n"/>
      <c r="D171" s="20" t="n"/>
      <c r="E171" s="19" t="n"/>
      <c r="F171" s="21" t="n"/>
      <c r="G171" s="21" t="n"/>
      <c r="H171" s="18" t="n"/>
      <c r="I171" s="21" t="n"/>
      <c r="J171" s="21" t="n"/>
      <c r="K171" s="22">
        <f>IF(AND($I171="Não",$H171&lt;&gt;"",$H171&lt;=TODAY()+7),COUNTIFS($H$5:$H$204,"&lt;"&amp;$H171,$I$5:$I$204,"Não",$H$5:$H$204,"&lt;="&amp;TODAY()+7)+COUNTIFS($H$5:$H171,$H171,$I$5:$I171,"Não"),"")</f>
        <v/>
      </c>
      <c r="L171" s="1" t="n"/>
      <c r="M171" s="1" t="n"/>
    </row>
    <row r="172">
      <c r="A172" s="18" t="n"/>
      <c r="B172" s="19" t="n"/>
      <c r="C172" s="19" t="n"/>
      <c r="D172" s="20" t="n"/>
      <c r="E172" s="19" t="n"/>
      <c r="F172" s="21" t="n"/>
      <c r="G172" s="21" t="n"/>
      <c r="H172" s="18" t="n"/>
      <c r="I172" s="21" t="n"/>
      <c r="J172" s="21" t="n"/>
      <c r="K172" s="22">
        <f>IF(AND($I172="Não",$H172&lt;&gt;"",$H172&lt;=TODAY()+7),COUNTIFS($H$5:$H$204,"&lt;"&amp;$H172,$I$5:$I$204,"Não",$H$5:$H$204,"&lt;="&amp;TODAY()+7)+COUNTIFS($H$5:$H172,$H172,$I$5:$I172,"Não"),"")</f>
        <v/>
      </c>
      <c r="L172" s="1" t="n"/>
      <c r="M172" s="1" t="n"/>
    </row>
    <row r="173">
      <c r="A173" s="18" t="n"/>
      <c r="B173" s="19" t="n"/>
      <c r="C173" s="19" t="n"/>
      <c r="D173" s="20" t="n"/>
      <c r="E173" s="19" t="n"/>
      <c r="F173" s="21" t="n"/>
      <c r="G173" s="21" t="n"/>
      <c r="H173" s="18" t="n"/>
      <c r="I173" s="21" t="n"/>
      <c r="J173" s="21" t="n"/>
      <c r="K173" s="22">
        <f>IF(AND($I173="Não",$H173&lt;&gt;"",$H173&lt;=TODAY()+7),COUNTIFS($H$5:$H$204,"&lt;"&amp;$H173,$I$5:$I$204,"Não",$H$5:$H$204,"&lt;="&amp;TODAY()+7)+COUNTIFS($H$5:$H173,$H173,$I$5:$I173,"Não"),"")</f>
        <v/>
      </c>
      <c r="L173" s="1" t="n"/>
      <c r="M173" s="1" t="n"/>
    </row>
    <row r="174">
      <c r="A174" s="18" t="n"/>
      <c r="B174" s="19" t="n"/>
      <c r="C174" s="19" t="n"/>
      <c r="D174" s="20" t="n"/>
      <c r="E174" s="19" t="n"/>
      <c r="F174" s="21" t="n"/>
      <c r="G174" s="21" t="n"/>
      <c r="H174" s="18" t="n"/>
      <c r="I174" s="21" t="n"/>
      <c r="J174" s="21" t="n"/>
      <c r="K174" s="22">
        <f>IF(AND($I174="Não",$H174&lt;&gt;"",$H174&lt;=TODAY()+7),COUNTIFS($H$5:$H$204,"&lt;"&amp;$H174,$I$5:$I$204,"Não",$H$5:$H$204,"&lt;="&amp;TODAY()+7)+COUNTIFS($H$5:$H174,$H174,$I$5:$I174,"Não"),"")</f>
        <v/>
      </c>
      <c r="L174" s="1" t="n"/>
      <c r="M174" s="1" t="n"/>
    </row>
    <row r="175">
      <c r="A175" s="18" t="n"/>
      <c r="B175" s="19" t="n"/>
      <c r="C175" s="19" t="n"/>
      <c r="D175" s="20" t="n"/>
      <c r="E175" s="19" t="n"/>
      <c r="F175" s="21" t="n"/>
      <c r="G175" s="21" t="n"/>
      <c r="H175" s="18" t="n"/>
      <c r="I175" s="21" t="n"/>
      <c r="J175" s="21" t="n"/>
      <c r="K175" s="22">
        <f>IF(AND($I175="Não",$H175&lt;&gt;"",$H175&lt;=TODAY()+7),COUNTIFS($H$5:$H$204,"&lt;"&amp;$H175,$I$5:$I$204,"Não",$H$5:$H$204,"&lt;="&amp;TODAY()+7)+COUNTIFS($H$5:$H175,$H175,$I$5:$I175,"Não"),"")</f>
        <v/>
      </c>
      <c r="L175" s="1" t="n"/>
      <c r="M175" s="1" t="n"/>
    </row>
    <row r="176">
      <c r="A176" s="18" t="n"/>
      <c r="B176" s="19" t="n"/>
      <c r="C176" s="19" t="n"/>
      <c r="D176" s="20" t="n"/>
      <c r="E176" s="19" t="n"/>
      <c r="F176" s="21" t="n"/>
      <c r="G176" s="21" t="n"/>
      <c r="H176" s="18" t="n"/>
      <c r="I176" s="21" t="n"/>
      <c r="J176" s="21" t="n"/>
      <c r="K176" s="22">
        <f>IF(AND($I176="Não",$H176&lt;&gt;"",$H176&lt;=TODAY()+7),COUNTIFS($H$5:$H$204,"&lt;"&amp;$H176,$I$5:$I$204,"Não",$H$5:$H$204,"&lt;="&amp;TODAY()+7)+COUNTIFS($H$5:$H176,$H176,$I$5:$I176,"Não"),"")</f>
        <v/>
      </c>
      <c r="L176" s="1" t="n"/>
      <c r="M176" s="1" t="n"/>
    </row>
    <row r="177">
      <c r="A177" s="18" t="n"/>
      <c r="B177" s="19" t="n"/>
      <c r="C177" s="19" t="n"/>
      <c r="D177" s="20" t="n"/>
      <c r="E177" s="19" t="n"/>
      <c r="F177" s="21" t="n"/>
      <c r="G177" s="21" t="n"/>
      <c r="H177" s="18" t="n"/>
      <c r="I177" s="21" t="n"/>
      <c r="J177" s="21" t="n"/>
      <c r="K177" s="22">
        <f>IF(AND($I177="Não",$H177&lt;&gt;"",$H177&lt;=TODAY()+7),COUNTIFS($H$5:$H$204,"&lt;"&amp;$H177,$I$5:$I$204,"Não",$H$5:$H$204,"&lt;="&amp;TODAY()+7)+COUNTIFS($H$5:$H177,$H177,$I$5:$I177,"Não"),"")</f>
        <v/>
      </c>
      <c r="L177" s="1" t="n"/>
      <c r="M177" s="1" t="n"/>
    </row>
    <row r="178">
      <c r="A178" s="18" t="n"/>
      <c r="B178" s="19" t="n"/>
      <c r="C178" s="19" t="n"/>
      <c r="D178" s="20" t="n"/>
      <c r="E178" s="19" t="n"/>
      <c r="F178" s="21" t="n"/>
      <c r="G178" s="21" t="n"/>
      <c r="H178" s="18" t="n"/>
      <c r="I178" s="21" t="n"/>
      <c r="J178" s="21" t="n"/>
      <c r="K178" s="22">
        <f>IF(AND($I178="Não",$H178&lt;&gt;"",$H178&lt;=TODAY()+7),COUNTIFS($H$5:$H$204,"&lt;"&amp;$H178,$I$5:$I$204,"Não",$H$5:$H$204,"&lt;="&amp;TODAY()+7)+COUNTIFS($H$5:$H178,$H178,$I$5:$I178,"Não"),"")</f>
        <v/>
      </c>
      <c r="L178" s="1" t="n"/>
      <c r="M178" s="1" t="n"/>
    </row>
    <row r="179">
      <c r="A179" s="18" t="n"/>
      <c r="B179" s="19" t="n"/>
      <c r="C179" s="19" t="n"/>
      <c r="D179" s="20" t="n"/>
      <c r="E179" s="19" t="n"/>
      <c r="F179" s="21" t="n"/>
      <c r="G179" s="21" t="n"/>
      <c r="H179" s="18" t="n"/>
      <c r="I179" s="21" t="n"/>
      <c r="J179" s="21" t="n"/>
      <c r="K179" s="22">
        <f>IF(AND($I179="Não",$H179&lt;&gt;"",$H179&lt;=TODAY()+7),COUNTIFS($H$5:$H$204,"&lt;"&amp;$H179,$I$5:$I$204,"Não",$H$5:$H$204,"&lt;="&amp;TODAY()+7)+COUNTIFS($H$5:$H179,$H179,$I$5:$I179,"Não"),"")</f>
        <v/>
      </c>
      <c r="L179" s="1" t="n"/>
      <c r="M179" s="1" t="n"/>
    </row>
    <row r="180">
      <c r="A180" s="18" t="n"/>
      <c r="B180" s="19" t="n"/>
      <c r="C180" s="19" t="n"/>
      <c r="D180" s="20" t="n"/>
      <c r="E180" s="19" t="n"/>
      <c r="F180" s="21" t="n"/>
      <c r="G180" s="21" t="n"/>
      <c r="H180" s="18" t="n"/>
      <c r="I180" s="21" t="n"/>
      <c r="J180" s="21" t="n"/>
      <c r="K180" s="22">
        <f>IF(AND($I180="Não",$H180&lt;&gt;"",$H180&lt;=TODAY()+7),COUNTIFS($H$5:$H$204,"&lt;"&amp;$H180,$I$5:$I$204,"Não",$H$5:$H$204,"&lt;="&amp;TODAY()+7)+COUNTIFS($H$5:$H180,$H180,$I$5:$I180,"Não"),"")</f>
        <v/>
      </c>
      <c r="L180" s="1" t="n"/>
      <c r="M180" s="1" t="n"/>
    </row>
    <row r="181">
      <c r="A181" s="18" t="n"/>
      <c r="B181" s="19" t="n"/>
      <c r="C181" s="19" t="n"/>
      <c r="D181" s="20" t="n"/>
      <c r="E181" s="19" t="n"/>
      <c r="F181" s="21" t="n"/>
      <c r="G181" s="21" t="n"/>
      <c r="H181" s="18" t="n"/>
      <c r="I181" s="21" t="n"/>
      <c r="J181" s="21" t="n"/>
      <c r="K181" s="22">
        <f>IF(AND($I181="Não",$H181&lt;&gt;"",$H181&lt;=TODAY()+7),COUNTIFS($H$5:$H$204,"&lt;"&amp;$H181,$I$5:$I$204,"Não",$H$5:$H$204,"&lt;="&amp;TODAY()+7)+COUNTIFS($H$5:$H181,$H181,$I$5:$I181,"Não"),"")</f>
        <v/>
      </c>
      <c r="L181" s="1" t="n"/>
      <c r="M181" s="1" t="n"/>
    </row>
    <row r="182">
      <c r="A182" s="18" t="n"/>
      <c r="B182" s="19" t="n"/>
      <c r="C182" s="19" t="n"/>
      <c r="D182" s="20" t="n"/>
      <c r="E182" s="19" t="n"/>
      <c r="F182" s="21" t="n"/>
      <c r="G182" s="21" t="n"/>
      <c r="H182" s="18" t="n"/>
      <c r="I182" s="21" t="n"/>
      <c r="J182" s="21" t="n"/>
      <c r="K182" s="22">
        <f>IF(AND($I182="Não",$H182&lt;&gt;"",$H182&lt;=TODAY()+7),COUNTIFS($H$5:$H$204,"&lt;"&amp;$H182,$I$5:$I$204,"Não",$H$5:$H$204,"&lt;="&amp;TODAY()+7)+COUNTIFS($H$5:$H182,$H182,$I$5:$I182,"Não"),"")</f>
        <v/>
      </c>
      <c r="L182" s="1" t="n"/>
      <c r="M182" s="1" t="n"/>
    </row>
    <row r="183">
      <c r="A183" s="18" t="n"/>
      <c r="B183" s="19" t="n"/>
      <c r="C183" s="19" t="n"/>
      <c r="D183" s="20" t="n"/>
      <c r="E183" s="19" t="n"/>
      <c r="F183" s="21" t="n"/>
      <c r="G183" s="21" t="n"/>
      <c r="H183" s="18" t="n"/>
      <c r="I183" s="21" t="n"/>
      <c r="J183" s="21" t="n"/>
      <c r="K183" s="22">
        <f>IF(AND($I183="Não",$H183&lt;&gt;"",$H183&lt;=TODAY()+7),COUNTIFS($H$5:$H$204,"&lt;"&amp;$H183,$I$5:$I$204,"Não",$H$5:$H$204,"&lt;="&amp;TODAY()+7)+COUNTIFS($H$5:$H183,$H183,$I$5:$I183,"Não"),"")</f>
        <v/>
      </c>
      <c r="L183" s="1" t="n"/>
      <c r="M183" s="1" t="n"/>
    </row>
    <row r="184">
      <c r="A184" s="18" t="n"/>
      <c r="B184" s="19" t="n"/>
      <c r="C184" s="19" t="n"/>
      <c r="D184" s="20" t="n"/>
      <c r="E184" s="19" t="n"/>
      <c r="F184" s="21" t="n"/>
      <c r="G184" s="21" t="n"/>
      <c r="H184" s="18" t="n"/>
      <c r="I184" s="21" t="n"/>
      <c r="J184" s="21" t="n"/>
      <c r="K184" s="22">
        <f>IF(AND($I184="Não",$H184&lt;&gt;"",$H184&lt;=TODAY()+7),COUNTIFS($H$5:$H$204,"&lt;"&amp;$H184,$I$5:$I$204,"Não",$H$5:$H$204,"&lt;="&amp;TODAY()+7)+COUNTIFS($H$5:$H184,$H184,$I$5:$I184,"Não"),"")</f>
        <v/>
      </c>
      <c r="L184" s="1" t="n"/>
      <c r="M184" s="1" t="n"/>
    </row>
    <row r="185">
      <c r="A185" s="18" t="n"/>
      <c r="B185" s="19" t="n"/>
      <c r="C185" s="19" t="n"/>
      <c r="D185" s="20" t="n"/>
      <c r="E185" s="19" t="n"/>
      <c r="F185" s="21" t="n"/>
      <c r="G185" s="21" t="n"/>
      <c r="H185" s="18" t="n"/>
      <c r="I185" s="21" t="n"/>
      <c r="J185" s="21" t="n"/>
      <c r="K185" s="22">
        <f>IF(AND($I185="Não",$H185&lt;&gt;"",$H185&lt;=TODAY()+7),COUNTIFS($H$5:$H$204,"&lt;"&amp;$H185,$I$5:$I$204,"Não",$H$5:$H$204,"&lt;="&amp;TODAY()+7)+COUNTIFS($H$5:$H185,$H185,$I$5:$I185,"Não"),"")</f>
        <v/>
      </c>
      <c r="L185" s="1" t="n"/>
      <c r="M185" s="1" t="n"/>
    </row>
    <row r="186">
      <c r="A186" s="18" t="n"/>
      <c r="B186" s="19" t="n"/>
      <c r="C186" s="19" t="n"/>
      <c r="D186" s="20" t="n"/>
      <c r="E186" s="19" t="n"/>
      <c r="F186" s="21" t="n"/>
      <c r="G186" s="21" t="n"/>
      <c r="H186" s="18" t="n"/>
      <c r="I186" s="21" t="n"/>
      <c r="J186" s="21" t="n"/>
      <c r="K186" s="22">
        <f>IF(AND($I186="Não",$H186&lt;&gt;"",$H186&lt;=TODAY()+7),COUNTIFS($H$5:$H$204,"&lt;"&amp;$H186,$I$5:$I$204,"Não",$H$5:$H$204,"&lt;="&amp;TODAY()+7)+COUNTIFS($H$5:$H186,$H186,$I$5:$I186,"Não"),"")</f>
        <v/>
      </c>
      <c r="L186" s="1" t="n"/>
      <c r="M186" s="1" t="n"/>
    </row>
    <row r="187">
      <c r="A187" s="18" t="n"/>
      <c r="B187" s="19" t="n"/>
      <c r="C187" s="19" t="n"/>
      <c r="D187" s="20" t="n"/>
      <c r="E187" s="19" t="n"/>
      <c r="F187" s="21" t="n"/>
      <c r="G187" s="21" t="n"/>
      <c r="H187" s="18" t="n"/>
      <c r="I187" s="21" t="n"/>
      <c r="J187" s="21" t="n"/>
      <c r="K187" s="22">
        <f>IF(AND($I187="Não",$H187&lt;&gt;"",$H187&lt;=TODAY()+7),COUNTIFS($H$5:$H$204,"&lt;"&amp;$H187,$I$5:$I$204,"Não",$H$5:$H$204,"&lt;="&amp;TODAY()+7)+COUNTIFS($H$5:$H187,$H187,$I$5:$I187,"Não"),"")</f>
        <v/>
      </c>
      <c r="L187" s="1" t="n"/>
      <c r="M187" s="1" t="n"/>
    </row>
    <row r="188">
      <c r="A188" s="18" t="n"/>
      <c r="B188" s="19" t="n"/>
      <c r="C188" s="19" t="n"/>
      <c r="D188" s="20" t="n"/>
      <c r="E188" s="19" t="n"/>
      <c r="F188" s="21" t="n"/>
      <c r="G188" s="21" t="n"/>
      <c r="H188" s="18" t="n"/>
      <c r="I188" s="21" t="n"/>
      <c r="J188" s="21" t="n"/>
      <c r="K188" s="22">
        <f>IF(AND($I188="Não",$H188&lt;&gt;"",$H188&lt;=TODAY()+7),COUNTIFS($H$5:$H$204,"&lt;"&amp;$H188,$I$5:$I$204,"Não",$H$5:$H$204,"&lt;="&amp;TODAY()+7)+COUNTIFS($H$5:$H188,$H188,$I$5:$I188,"Não"),"")</f>
        <v/>
      </c>
      <c r="L188" s="1" t="n"/>
      <c r="M188" s="1" t="n"/>
    </row>
    <row r="189">
      <c r="A189" s="18" t="n"/>
      <c r="B189" s="19" t="n"/>
      <c r="C189" s="19" t="n"/>
      <c r="D189" s="20" t="n"/>
      <c r="E189" s="19" t="n"/>
      <c r="F189" s="21" t="n"/>
      <c r="G189" s="21" t="n"/>
      <c r="H189" s="18" t="n"/>
      <c r="I189" s="21" t="n"/>
      <c r="J189" s="21" t="n"/>
      <c r="K189" s="22">
        <f>IF(AND($I189="Não",$H189&lt;&gt;"",$H189&lt;=TODAY()+7),COUNTIFS($H$5:$H$204,"&lt;"&amp;$H189,$I$5:$I$204,"Não",$H$5:$H$204,"&lt;="&amp;TODAY()+7)+COUNTIFS($H$5:$H189,$H189,$I$5:$I189,"Não"),"")</f>
        <v/>
      </c>
      <c r="L189" s="1" t="n"/>
      <c r="M189" s="1" t="n"/>
    </row>
    <row r="190">
      <c r="A190" s="18" t="n"/>
      <c r="B190" s="19" t="n"/>
      <c r="C190" s="19" t="n"/>
      <c r="D190" s="20" t="n"/>
      <c r="E190" s="19" t="n"/>
      <c r="F190" s="21" t="n"/>
      <c r="G190" s="21" t="n"/>
      <c r="H190" s="18" t="n"/>
      <c r="I190" s="21" t="n"/>
      <c r="J190" s="21" t="n"/>
      <c r="K190" s="22">
        <f>IF(AND($I190="Não",$H190&lt;&gt;"",$H190&lt;=TODAY()+7),COUNTIFS($H$5:$H$204,"&lt;"&amp;$H190,$I$5:$I$204,"Não",$H$5:$H$204,"&lt;="&amp;TODAY()+7)+COUNTIFS($H$5:$H190,$H190,$I$5:$I190,"Não"),"")</f>
        <v/>
      </c>
      <c r="L190" s="1" t="n"/>
      <c r="M190" s="1" t="n"/>
    </row>
    <row r="191">
      <c r="A191" s="18" t="n"/>
      <c r="B191" s="19" t="n"/>
      <c r="C191" s="19" t="n"/>
      <c r="D191" s="20" t="n"/>
      <c r="E191" s="19" t="n"/>
      <c r="F191" s="21" t="n"/>
      <c r="G191" s="21" t="n"/>
      <c r="H191" s="18" t="n"/>
      <c r="I191" s="21" t="n"/>
      <c r="J191" s="21" t="n"/>
      <c r="K191" s="22">
        <f>IF(AND($I191="Não",$H191&lt;&gt;"",$H191&lt;=TODAY()+7),COUNTIFS($H$5:$H$204,"&lt;"&amp;$H191,$I$5:$I$204,"Não",$H$5:$H$204,"&lt;="&amp;TODAY()+7)+COUNTIFS($H$5:$H191,$H191,$I$5:$I191,"Não"),"")</f>
        <v/>
      </c>
      <c r="L191" s="1" t="n"/>
      <c r="M191" s="1" t="n"/>
    </row>
    <row r="192">
      <c r="A192" s="18" t="n"/>
      <c r="B192" s="19" t="n"/>
      <c r="C192" s="19" t="n"/>
      <c r="D192" s="20" t="n"/>
      <c r="E192" s="19" t="n"/>
      <c r="F192" s="21" t="n"/>
      <c r="G192" s="21" t="n"/>
      <c r="H192" s="18" t="n"/>
      <c r="I192" s="21" t="n"/>
      <c r="J192" s="21" t="n"/>
      <c r="K192" s="22">
        <f>IF(AND($I192="Não",$H192&lt;&gt;"",$H192&lt;=TODAY()+7),COUNTIFS($H$5:$H$204,"&lt;"&amp;$H192,$I$5:$I$204,"Não",$H$5:$H$204,"&lt;="&amp;TODAY()+7)+COUNTIFS($H$5:$H192,$H192,$I$5:$I192,"Não"),"")</f>
        <v/>
      </c>
      <c r="L192" s="1" t="n"/>
      <c r="M192" s="1" t="n"/>
    </row>
    <row r="193">
      <c r="A193" s="18" t="n"/>
      <c r="B193" s="19" t="n"/>
      <c r="C193" s="19" t="n"/>
      <c r="D193" s="20" t="n"/>
      <c r="E193" s="19" t="n"/>
      <c r="F193" s="21" t="n"/>
      <c r="G193" s="21" t="n"/>
      <c r="H193" s="18" t="n"/>
      <c r="I193" s="21" t="n"/>
      <c r="J193" s="21" t="n"/>
      <c r="K193" s="22">
        <f>IF(AND($I193="Não",$H193&lt;&gt;"",$H193&lt;=TODAY()+7),COUNTIFS($H$5:$H$204,"&lt;"&amp;$H193,$I$5:$I$204,"Não",$H$5:$H$204,"&lt;="&amp;TODAY()+7)+COUNTIFS($H$5:$H193,$H193,$I$5:$I193,"Não"),"")</f>
        <v/>
      </c>
      <c r="L193" s="1" t="n"/>
      <c r="M193" s="1" t="n"/>
    </row>
    <row r="194">
      <c r="A194" s="18" t="n"/>
      <c r="B194" s="19" t="n"/>
      <c r="C194" s="19" t="n"/>
      <c r="D194" s="20" t="n"/>
      <c r="E194" s="19" t="n"/>
      <c r="F194" s="21" t="n"/>
      <c r="G194" s="21" t="n"/>
      <c r="H194" s="18" t="n"/>
      <c r="I194" s="21" t="n"/>
      <c r="J194" s="21" t="n"/>
      <c r="K194" s="22">
        <f>IF(AND($I194="Não",$H194&lt;&gt;"",$H194&lt;=TODAY()+7),COUNTIFS($H$5:$H$204,"&lt;"&amp;$H194,$I$5:$I$204,"Não",$H$5:$H$204,"&lt;="&amp;TODAY()+7)+COUNTIFS($H$5:$H194,$H194,$I$5:$I194,"Não"),"")</f>
        <v/>
      </c>
      <c r="L194" s="1" t="n"/>
      <c r="M194" s="1" t="n"/>
    </row>
    <row r="195">
      <c r="A195" s="18" t="n"/>
      <c r="B195" s="19" t="n"/>
      <c r="C195" s="19" t="n"/>
      <c r="D195" s="20" t="n"/>
      <c r="E195" s="19" t="n"/>
      <c r="F195" s="21" t="n"/>
      <c r="G195" s="21" t="n"/>
      <c r="H195" s="18" t="n"/>
      <c r="I195" s="21" t="n"/>
      <c r="J195" s="21" t="n"/>
      <c r="K195" s="22">
        <f>IF(AND($I195="Não",$H195&lt;&gt;"",$H195&lt;=TODAY()+7),COUNTIFS($H$5:$H$204,"&lt;"&amp;$H195,$I$5:$I$204,"Não",$H$5:$H$204,"&lt;="&amp;TODAY()+7)+COUNTIFS($H$5:$H195,$H195,$I$5:$I195,"Não"),"")</f>
        <v/>
      </c>
      <c r="L195" s="1" t="n"/>
      <c r="M195" s="1" t="n"/>
    </row>
    <row r="196">
      <c r="A196" s="18" t="n"/>
      <c r="B196" s="19" t="n"/>
      <c r="C196" s="19" t="n"/>
      <c r="D196" s="20" t="n"/>
      <c r="E196" s="19" t="n"/>
      <c r="F196" s="21" t="n"/>
      <c r="G196" s="21" t="n"/>
      <c r="H196" s="18" t="n"/>
      <c r="I196" s="21" t="n"/>
      <c r="J196" s="21" t="n"/>
      <c r="K196" s="22">
        <f>IF(AND($I196="Não",$H196&lt;&gt;"",$H196&lt;=TODAY()+7),COUNTIFS($H$5:$H$204,"&lt;"&amp;$H196,$I$5:$I$204,"Não",$H$5:$H$204,"&lt;="&amp;TODAY()+7)+COUNTIFS($H$5:$H196,$H196,$I$5:$I196,"Não"),"")</f>
        <v/>
      </c>
      <c r="L196" s="1" t="n"/>
      <c r="M196" s="1" t="n"/>
    </row>
    <row r="197">
      <c r="A197" s="18" t="n"/>
      <c r="B197" s="19" t="n"/>
      <c r="C197" s="19" t="n"/>
      <c r="D197" s="20" t="n"/>
      <c r="E197" s="19" t="n"/>
      <c r="F197" s="21" t="n"/>
      <c r="G197" s="21" t="n"/>
      <c r="H197" s="18" t="n"/>
      <c r="I197" s="21" t="n"/>
      <c r="J197" s="21" t="n"/>
      <c r="K197" s="22">
        <f>IF(AND($I197="Não",$H197&lt;&gt;"",$H197&lt;=TODAY()+7),COUNTIFS($H$5:$H$204,"&lt;"&amp;$H197,$I$5:$I$204,"Não",$H$5:$H$204,"&lt;="&amp;TODAY()+7)+COUNTIFS($H$5:$H197,$H197,$I$5:$I197,"Não"),"")</f>
        <v/>
      </c>
      <c r="L197" s="1" t="n"/>
      <c r="M197" s="1" t="n"/>
    </row>
    <row r="198">
      <c r="A198" s="18" t="n"/>
      <c r="B198" s="19" t="n"/>
      <c r="C198" s="19" t="n"/>
      <c r="D198" s="20" t="n"/>
      <c r="E198" s="19" t="n"/>
      <c r="F198" s="21" t="n"/>
      <c r="G198" s="21" t="n"/>
      <c r="H198" s="18" t="n"/>
      <c r="I198" s="21" t="n"/>
      <c r="J198" s="21" t="n"/>
      <c r="K198" s="22">
        <f>IF(AND($I198="Não",$H198&lt;&gt;"",$H198&lt;=TODAY()+7),COUNTIFS($H$5:$H$204,"&lt;"&amp;$H198,$I$5:$I$204,"Não",$H$5:$H$204,"&lt;="&amp;TODAY()+7)+COUNTIFS($H$5:$H198,$H198,$I$5:$I198,"Não"),"")</f>
        <v/>
      </c>
      <c r="L198" s="1" t="n"/>
      <c r="M198" s="1" t="n"/>
    </row>
    <row r="199">
      <c r="A199" s="18" t="n"/>
      <c r="B199" s="19" t="n"/>
      <c r="C199" s="19" t="n"/>
      <c r="D199" s="20" t="n"/>
      <c r="E199" s="19" t="n"/>
      <c r="F199" s="21" t="n"/>
      <c r="G199" s="21" t="n"/>
      <c r="H199" s="18" t="n"/>
      <c r="I199" s="21" t="n"/>
      <c r="J199" s="21" t="n"/>
      <c r="K199" s="22">
        <f>IF(AND($I199="Não",$H199&lt;&gt;"",$H199&lt;=TODAY()+7),COUNTIFS($H$5:$H$204,"&lt;"&amp;$H199,$I$5:$I$204,"Não",$H$5:$H$204,"&lt;="&amp;TODAY()+7)+COUNTIFS($H$5:$H199,$H199,$I$5:$I199,"Não"),"")</f>
        <v/>
      </c>
      <c r="L199" s="1" t="n"/>
      <c r="M199" s="1" t="n"/>
    </row>
    <row r="200">
      <c r="A200" s="18" t="n"/>
      <c r="B200" s="19" t="n"/>
      <c r="C200" s="19" t="n"/>
      <c r="D200" s="20" t="n"/>
      <c r="E200" s="19" t="n"/>
      <c r="F200" s="21" t="n"/>
      <c r="G200" s="21" t="n"/>
      <c r="H200" s="18" t="n"/>
      <c r="I200" s="21" t="n"/>
      <c r="J200" s="21" t="n"/>
      <c r="K200" s="22">
        <f>IF(AND($I200="Não",$H200&lt;&gt;"",$H200&lt;=TODAY()+7),COUNTIFS($H$5:$H$204,"&lt;"&amp;$H200,$I$5:$I$204,"Não",$H$5:$H$204,"&lt;="&amp;TODAY()+7)+COUNTIFS($H$5:$H200,$H200,$I$5:$I200,"Não"),"")</f>
        <v/>
      </c>
      <c r="L200" s="1" t="n"/>
      <c r="M200" s="1" t="n"/>
    </row>
    <row r="201">
      <c r="A201" s="18" t="n"/>
      <c r="B201" s="19" t="n"/>
      <c r="C201" s="19" t="n"/>
      <c r="D201" s="20" t="n"/>
      <c r="E201" s="19" t="n"/>
      <c r="F201" s="21" t="n"/>
      <c r="G201" s="21" t="n"/>
      <c r="H201" s="18" t="n"/>
      <c r="I201" s="21" t="n"/>
      <c r="J201" s="21" t="n"/>
      <c r="K201" s="22">
        <f>IF(AND($I201="Não",$H201&lt;&gt;"",$H201&lt;=TODAY()+7),COUNTIFS($H$5:$H$204,"&lt;"&amp;$H201,$I$5:$I$204,"Não",$H$5:$H$204,"&lt;="&amp;TODAY()+7)+COUNTIFS($H$5:$H201,$H201,$I$5:$I201,"Não"),"")</f>
        <v/>
      </c>
      <c r="L201" s="1" t="n"/>
      <c r="M201" s="1" t="n"/>
    </row>
    <row r="202">
      <c r="A202" s="18" t="n"/>
      <c r="B202" s="19" t="n"/>
      <c r="C202" s="19" t="n"/>
      <c r="D202" s="20" t="n"/>
      <c r="E202" s="19" t="n"/>
      <c r="F202" s="21" t="n"/>
      <c r="G202" s="21" t="n"/>
      <c r="H202" s="18" t="n"/>
      <c r="I202" s="21" t="n"/>
      <c r="J202" s="21" t="n"/>
      <c r="K202" s="22">
        <f>IF(AND($I202="Não",$H202&lt;&gt;"",$H202&lt;=TODAY()+7),COUNTIFS($H$5:$H$204,"&lt;"&amp;$H202,$I$5:$I$204,"Não",$H$5:$H$204,"&lt;="&amp;TODAY()+7)+COUNTIFS($H$5:$H202,$H202,$I$5:$I202,"Não"),"")</f>
        <v/>
      </c>
      <c r="L202" s="1" t="n"/>
      <c r="M202" s="1" t="n"/>
    </row>
    <row r="203">
      <c r="A203" s="18" t="n"/>
      <c r="B203" s="19" t="n"/>
      <c r="C203" s="19" t="n"/>
      <c r="D203" s="20" t="n"/>
      <c r="E203" s="19" t="n"/>
      <c r="F203" s="21" t="n"/>
      <c r="G203" s="21" t="n"/>
      <c r="H203" s="18" t="n"/>
      <c r="I203" s="21" t="n"/>
      <c r="J203" s="21" t="n"/>
      <c r="K203" s="22">
        <f>IF(AND($I203="Não",$H203&lt;&gt;"",$H203&lt;=TODAY()+7),COUNTIFS($H$5:$H$204,"&lt;"&amp;$H203,$I$5:$I$204,"Não",$H$5:$H$204,"&lt;="&amp;TODAY()+7)+COUNTIFS($H$5:$H203,$H203,$I$5:$I203,"Não"),"")</f>
        <v/>
      </c>
      <c r="L203" s="1" t="n"/>
      <c r="M203" s="1" t="n"/>
    </row>
    <row r="204">
      <c r="A204" s="18" t="n"/>
      <c r="B204" s="19" t="n"/>
      <c r="C204" s="19" t="n"/>
      <c r="D204" s="20" t="n"/>
      <c r="E204" s="19" t="n"/>
      <c r="F204" s="21" t="n"/>
      <c r="G204" s="21" t="n"/>
      <c r="H204" s="18" t="n"/>
      <c r="I204" s="21" t="n"/>
      <c r="J204" s="21" t="n"/>
      <c r="K204" s="22">
        <f>IF(AND($I204="Não",$H204&lt;&gt;"",$H204&lt;=TODAY()+7),COUNTIFS($H$5:$H$204,"&lt;"&amp;$H204,$I$5:$I$204,"Não",$H$5:$H$204,"&lt;="&amp;TODAY()+7)+COUNTIFS($H$5:$H204,$H204,$I$5:$I204,"Não"),"")</f>
        <v/>
      </c>
      <c r="L204" s="1" t="n"/>
      <c r="M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autoFilter ref="A4:J204"/>
  <conditionalFormatting sqref="I5:I204">
    <cfRule type="expression" priority="1" dxfId="5">
      <formula>$I5="Sim"</formula>
    </cfRule>
    <cfRule type="expression" priority="2" dxfId="7">
      <formula>$I5="Não"</formula>
    </cfRule>
  </conditionalFormatting>
  <conditionalFormatting sqref="H5:H204">
    <cfRule type="expression" priority="3" dxfId="8">
      <formula>AND($I5="Não",$H5&lt;&gt;"",$H5&lt;TODAY())</formula>
    </cfRule>
    <cfRule type="expression" priority="4" dxfId="9">
      <formula>AND($I5="Não",$H5&lt;&gt;"",$H5&lt;=TODAY()+7)</formula>
    </cfRule>
  </conditionalFormatting>
  <dataValidations count="5">
    <dataValidation sqref="C5:C204" showDropDown="0" showInputMessage="0" showErrorMessage="0" allowBlank="1" type="list">
      <formula1>=CatDespesas</formula1>
    </dataValidation>
    <dataValidation sqref="E5:E204" showDropDown="0" showInputMessage="0" showErrorMessage="0" allowBlank="1" type="list">
      <formula1>=FormasPag</formula1>
    </dataValidation>
    <dataValidation sqref="F5:F204" showDropDown="0" showInputMessage="0" showErrorMessage="0" allowBlank="1" type="list">
      <formula1>=ListaCartoes</formula1>
    </dataValidation>
    <dataValidation sqref="J5:J204" showDropDown="0" showInputMessage="0" showErrorMessage="0" allowBlank="1" type="list">
      <formula1>=ListaContas</formula1>
    </dataValidation>
    <dataValidation sqref="I5:I204" showDropDown="0" showInputMessage="0" showErrorMessage="0" allowBlank="1" type="list">
      <formula1>"Sim,Não"</formula1>
    </dataValidation>
  </dataValidations>
  <hyperlinks>
    <hyperlink ref="B1" location="'📊 Dashboard'!A1" tooltip="Ir para 📊 Dashboard"/>
    <hyperlink ref="C1" location="'💰 Receitas'!A1" tooltip="Ir para 💰 Receitas"/>
    <hyperlink ref="D1" location="'💸 Despesas'!A1" tooltip="Ir para 💸 Despesas"/>
    <hyperlink ref="E1" location="'🏦 Contas'!A1" tooltip="Ir para 🏦 Contas"/>
    <hyperlink ref="F1" location="'💳 Cartões'!A1" tooltip="Ir para 💳 Cartões"/>
    <hyperlink ref="G1" location="'🎯 Metas'!A1" tooltip="Ir para 🎯 Metas"/>
    <hyperlink ref="H1" location="'📅 Planejamento'!A1" tooltip="Ir para 📅 Planejamento"/>
    <hyperlink ref="I1" location="'📈 Relatórios'!A1" tooltip="Ir para 📈 Relatórios"/>
    <hyperlink ref="J1" location="'🔔 Alertas'!A1" tooltip="Ir para 🔔 Alertas"/>
    <hyperlink ref="K1" location="'⚙️ Config'!A1" tooltip="Ir para ⚙️ Config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B5E20"/>
    <outlinePr summaryBelow="1" summaryRight="1"/>
    <pageSetUpPr/>
  </sheetPr>
  <dimension ref="A1:L4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7" customWidth="1" min="5" max="5"/>
    <col width="17" customWidth="1" min="6" max="6"/>
    <col width="16" customWidth="1" min="7" max="7"/>
  </cols>
  <sheetData>
    <row r="1" ht="24" customHeight="1">
      <c r="A1" s="1" t="n"/>
      <c r="B1" s="3" t="inlineStr">
        <is>
          <t>📊 Início</t>
        </is>
      </c>
      <c r="C1" s="3" t="inlineStr">
        <is>
          <t>💰 Receitas</t>
        </is>
      </c>
      <c r="D1" s="3" t="inlineStr">
        <is>
          <t>💸 Despesas</t>
        </is>
      </c>
      <c r="E1" s="2" t="inlineStr">
        <is>
          <t>🏦 Contas</t>
        </is>
      </c>
      <c r="F1" s="3" t="inlineStr">
        <is>
          <t>💳 Cartões</t>
        </is>
      </c>
      <c r="G1" s="3" t="inlineStr">
        <is>
          <t>🎯 Metas</t>
        </is>
      </c>
      <c r="H1" s="3" t="inlineStr">
        <is>
          <t>📅 Orçamento</t>
        </is>
      </c>
      <c r="I1" s="3" t="inlineStr">
        <is>
          <t>📈 Relatórios</t>
        </is>
      </c>
      <c r="J1" s="3" t="inlineStr">
        <is>
          <t>🔔 Alertas</t>
        </is>
      </c>
      <c r="K1" s="3" t="inlineStr">
        <is>
          <t>⚙️ Config</t>
        </is>
      </c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1" t="n"/>
      <c r="B3" s="4" t="inlineStr">
        <is>
          <t>🏦 Contas Bancárias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>
      <c r="A4" s="1" t="n"/>
      <c r="B4" s="7" t="inlineStr">
        <is>
          <t>Entradas, saídas e transferências entram automaticamente no saldo.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>
      <c r="A6" s="17" t="inlineStr">
        <is>
          <t>Banco / Conta</t>
        </is>
      </c>
      <c r="B6" s="17" t="inlineStr">
        <is>
          <t>Saldo Inicial</t>
        </is>
      </c>
      <c r="C6" s="17" t="inlineStr">
        <is>
          <t>Entradas</t>
        </is>
      </c>
      <c r="D6" s="17" t="inlineStr">
        <is>
          <t>Saídas</t>
        </is>
      </c>
      <c r="E6" s="17" t="inlineStr">
        <is>
          <t>Transf. Recebidas</t>
        </is>
      </c>
      <c r="F6" s="17" t="inlineStr">
        <is>
          <t>Transf. Enviadas</t>
        </is>
      </c>
      <c r="G6" s="17" t="inlineStr">
        <is>
          <t>Saldo Atual</t>
        </is>
      </c>
      <c r="H6" s="1" t="n"/>
      <c r="I6" s="1" t="n"/>
      <c r="J6" s="1" t="n"/>
      <c r="K6" s="1" t="n"/>
      <c r="L6" s="1" t="n"/>
    </row>
    <row r="7">
      <c r="A7" s="19" t="inlineStr">
        <is>
          <t>Itaú</t>
        </is>
      </c>
      <c r="B7" s="20" t="n">
        <v>2500</v>
      </c>
      <c r="C7" s="23">
        <f>IF($A7="","",SUMIFS('💰 Receitas'!$D:$D,'💰 Receitas'!$F:$F,$A7,'💰 Receitas'!$G:$G,"Recebido"))</f>
        <v/>
      </c>
      <c r="D7" s="24">
        <f>IF($A7="","",SUMIFS('💸 Despesas'!$D:$D,'💸 Despesas'!$J:$J,$A7,'💸 Despesas'!$I:$I,"Sim"))</f>
        <v/>
      </c>
      <c r="E7" s="25">
        <f>IF($A7="","",SUMIFS($D$22:$D$36,$C$22:$C$36,$A7))</f>
        <v/>
      </c>
      <c r="F7" s="25">
        <f>IF($A7="","",SUMIFS($D$22:$D$36,$B$22:$B$36,$A7))</f>
        <v/>
      </c>
      <c r="G7" s="26">
        <f>IF($A7="","",$B7+$C7-$D7+$E7-$F7)</f>
        <v/>
      </c>
      <c r="H7" s="1" t="n"/>
      <c r="I7" s="1" t="n"/>
      <c r="J7" s="1" t="n"/>
      <c r="K7" s="1" t="n"/>
      <c r="L7" s="1" t="n"/>
    </row>
    <row r="8">
      <c r="A8" s="19" t="inlineStr">
        <is>
          <t>Nubank</t>
        </is>
      </c>
      <c r="B8" s="20" t="n">
        <v>1200</v>
      </c>
      <c r="C8" s="23">
        <f>IF($A8="","",SUMIFS('💰 Receitas'!$D:$D,'💰 Receitas'!$F:$F,$A8,'💰 Receitas'!$G:$G,"Recebido"))</f>
        <v/>
      </c>
      <c r="D8" s="24">
        <f>IF($A8="","",SUMIFS('💸 Despesas'!$D:$D,'💸 Despesas'!$J:$J,$A8,'💸 Despesas'!$I:$I,"Sim"))</f>
        <v/>
      </c>
      <c r="E8" s="25">
        <f>IF($A8="","",SUMIFS($D$22:$D$36,$C$22:$C$36,$A8))</f>
        <v/>
      </c>
      <c r="F8" s="25">
        <f>IF($A8="","",SUMIFS($D$22:$D$36,$B$22:$B$36,$A8))</f>
        <v/>
      </c>
      <c r="G8" s="26">
        <f>IF($A8="","",$B8+$C8-$D8+$E8-$F8)</f>
        <v/>
      </c>
      <c r="H8" s="1" t="n"/>
      <c r="I8" s="1" t="n"/>
      <c r="J8" s="1" t="n"/>
      <c r="K8" s="1" t="n"/>
      <c r="L8" s="1" t="n"/>
    </row>
    <row r="9">
      <c r="A9" s="19" t="inlineStr">
        <is>
          <t>Caixa</t>
        </is>
      </c>
      <c r="B9" s="20" t="n">
        <v>800</v>
      </c>
      <c r="C9" s="23">
        <f>IF($A9="","",SUMIFS('💰 Receitas'!$D:$D,'💰 Receitas'!$F:$F,$A9,'💰 Receitas'!$G:$G,"Recebido"))</f>
        <v/>
      </c>
      <c r="D9" s="24">
        <f>IF($A9="","",SUMIFS('💸 Despesas'!$D:$D,'💸 Despesas'!$J:$J,$A9,'💸 Despesas'!$I:$I,"Sim"))</f>
        <v/>
      </c>
      <c r="E9" s="25">
        <f>IF($A9="","",SUMIFS($D$22:$D$36,$C$22:$C$36,$A9))</f>
        <v/>
      </c>
      <c r="F9" s="25">
        <f>IF($A9="","",SUMIFS($D$22:$D$36,$B$22:$B$36,$A9))</f>
        <v/>
      </c>
      <c r="G9" s="26">
        <f>IF($A9="","",$B9+$C9-$D9+$E9-$F9)</f>
        <v/>
      </c>
      <c r="H9" s="1" t="n"/>
      <c r="I9" s="1" t="n"/>
      <c r="J9" s="1" t="n"/>
      <c r="K9" s="1" t="n"/>
      <c r="L9" s="1" t="n"/>
    </row>
    <row r="10">
      <c r="A10" s="19" t="inlineStr">
        <is>
          <t>Inter</t>
        </is>
      </c>
      <c r="B10" s="20" t="n">
        <v>300</v>
      </c>
      <c r="C10" s="23">
        <f>IF($A10="","",SUMIFS('💰 Receitas'!$D:$D,'💰 Receitas'!$F:$F,$A10,'💰 Receitas'!$G:$G,"Recebido"))</f>
        <v/>
      </c>
      <c r="D10" s="24">
        <f>IF($A10="","",SUMIFS('💸 Despesas'!$D:$D,'💸 Despesas'!$J:$J,$A10,'💸 Despesas'!$I:$I,"Sim"))</f>
        <v/>
      </c>
      <c r="E10" s="25">
        <f>IF($A10="","",SUMIFS($D$22:$D$36,$C$22:$C$36,$A10))</f>
        <v/>
      </c>
      <c r="F10" s="25">
        <f>IF($A10="","",SUMIFS($D$22:$D$36,$B$22:$B$36,$A10))</f>
        <v/>
      </c>
      <c r="G10" s="26">
        <f>IF($A10="","",$B10+$C10-$D10+$E10-$F10)</f>
        <v/>
      </c>
      <c r="H10" s="1" t="n"/>
      <c r="I10" s="1" t="n"/>
      <c r="J10" s="1" t="n"/>
      <c r="K10" s="1" t="n"/>
      <c r="L10" s="1" t="n"/>
    </row>
    <row r="11">
      <c r="A11" s="19" t="inlineStr">
        <is>
          <t>Carteira</t>
        </is>
      </c>
      <c r="B11" s="20" t="n">
        <v>150</v>
      </c>
      <c r="C11" s="23">
        <f>IF($A11="","",SUMIFS('💰 Receitas'!$D:$D,'💰 Receitas'!$F:$F,$A11,'💰 Receitas'!$G:$G,"Recebido"))</f>
        <v/>
      </c>
      <c r="D11" s="24">
        <f>IF($A11="","",SUMIFS('💸 Despesas'!$D:$D,'💸 Despesas'!$J:$J,$A11,'💸 Despesas'!$I:$I,"Sim"))</f>
        <v/>
      </c>
      <c r="E11" s="25">
        <f>IF($A11="","",SUMIFS($D$22:$D$36,$C$22:$C$36,$A11))</f>
        <v/>
      </c>
      <c r="F11" s="25">
        <f>IF($A11="","",SUMIFS($D$22:$D$36,$B$22:$B$36,$A11))</f>
        <v/>
      </c>
      <c r="G11" s="26">
        <f>IF($A11="","",$B11+$C11-$D11+$E11-$F11)</f>
        <v/>
      </c>
      <c r="H11" s="1" t="n"/>
      <c r="I11" s="1" t="n"/>
      <c r="J11" s="1" t="n"/>
      <c r="K11" s="1" t="n"/>
      <c r="L11" s="1" t="n"/>
    </row>
    <row r="12">
      <c r="A12" s="19" t="n"/>
      <c r="B12" s="20" t="n"/>
      <c r="C12" s="23">
        <f>IF($A12="","",SUMIFS('💰 Receitas'!$D:$D,'💰 Receitas'!$F:$F,$A12,'💰 Receitas'!$G:$G,"Recebido"))</f>
        <v/>
      </c>
      <c r="D12" s="24">
        <f>IF($A12="","",SUMIFS('💸 Despesas'!$D:$D,'💸 Despesas'!$J:$J,$A12,'💸 Despesas'!$I:$I,"Sim"))</f>
        <v/>
      </c>
      <c r="E12" s="25">
        <f>IF($A12="","",SUMIFS($D$22:$D$36,$C$22:$C$36,$A12))</f>
        <v/>
      </c>
      <c r="F12" s="25">
        <f>IF($A12="","",SUMIFS($D$22:$D$36,$B$22:$B$36,$A12))</f>
        <v/>
      </c>
      <c r="G12" s="26">
        <f>IF($A12="","",$B12+$C12-$D12+$E12-$F12)</f>
        <v/>
      </c>
      <c r="H12" s="1" t="n"/>
      <c r="I12" s="1" t="n"/>
      <c r="J12" s="1" t="n"/>
      <c r="K12" s="1" t="n"/>
      <c r="L12" s="1" t="n"/>
    </row>
    <row r="13">
      <c r="A13" s="19" t="n"/>
      <c r="B13" s="20" t="n"/>
      <c r="C13" s="23">
        <f>IF($A13="","",SUMIFS('💰 Receitas'!$D:$D,'💰 Receitas'!$F:$F,$A13,'💰 Receitas'!$G:$G,"Recebido"))</f>
        <v/>
      </c>
      <c r="D13" s="24">
        <f>IF($A13="","",SUMIFS('💸 Despesas'!$D:$D,'💸 Despesas'!$J:$J,$A13,'💸 Despesas'!$I:$I,"Sim"))</f>
        <v/>
      </c>
      <c r="E13" s="25">
        <f>IF($A13="","",SUMIFS($D$22:$D$36,$C$22:$C$36,$A13))</f>
        <v/>
      </c>
      <c r="F13" s="25">
        <f>IF($A13="","",SUMIFS($D$22:$D$36,$B$22:$B$36,$A13))</f>
        <v/>
      </c>
      <c r="G13" s="26">
        <f>IF($A13="","",$B13+$C13-$D13+$E13-$F13)</f>
        <v/>
      </c>
      <c r="H13" s="1" t="n"/>
      <c r="I13" s="1" t="n"/>
      <c r="J13" s="1" t="n"/>
      <c r="K13" s="1" t="n"/>
      <c r="L13" s="1" t="n"/>
    </row>
    <row r="14">
      <c r="A14" s="19" t="n"/>
      <c r="B14" s="20" t="n"/>
      <c r="C14" s="23">
        <f>IF($A14="","",SUMIFS('💰 Receitas'!$D:$D,'💰 Receitas'!$F:$F,$A14,'💰 Receitas'!$G:$G,"Recebido"))</f>
        <v/>
      </c>
      <c r="D14" s="24">
        <f>IF($A14="","",SUMIFS('💸 Despesas'!$D:$D,'💸 Despesas'!$J:$J,$A14,'💸 Despesas'!$I:$I,"Sim"))</f>
        <v/>
      </c>
      <c r="E14" s="25">
        <f>IF($A14="","",SUMIFS($D$22:$D$36,$C$22:$C$36,$A14))</f>
        <v/>
      </c>
      <c r="F14" s="25">
        <f>IF($A14="","",SUMIFS($D$22:$D$36,$B$22:$B$36,$A14))</f>
        <v/>
      </c>
      <c r="G14" s="26">
        <f>IF($A14="","",$B14+$C14-$D14+$E14-$F14)</f>
        <v/>
      </c>
      <c r="H14" s="1" t="n"/>
      <c r="I14" s="1" t="n"/>
      <c r="J14" s="1" t="n"/>
      <c r="K14" s="1" t="n"/>
      <c r="L14" s="1" t="n"/>
    </row>
    <row r="15">
      <c r="A15" s="27" t="inlineStr">
        <is>
          <t>TOTAL</t>
        </is>
      </c>
      <c r="B15" s="28">
        <f>SUM(B7:B14)</f>
        <v/>
      </c>
      <c r="C15" s="28">
        <f>SUM(C7:C14)</f>
        <v/>
      </c>
      <c r="D15" s="28">
        <f>SUM(D7:D14)</f>
        <v/>
      </c>
      <c r="E15" s="28">
        <f>SUM(E7:E14)</f>
        <v/>
      </c>
      <c r="F15" s="28">
        <f>SUM(F7:F14)</f>
        <v/>
      </c>
      <c r="G15" s="28">
        <f>SUM(G7:G14)</f>
        <v/>
      </c>
      <c r="H15" s="1" t="n"/>
      <c r="I15" s="1" t="n"/>
      <c r="J15" s="1" t="n"/>
      <c r="K15" s="1" t="n"/>
      <c r="L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</row>
    <row r="19">
      <c r="A19" s="29" t="inlineStr">
        <is>
          <t>🔁 Transferências entre contas</t>
        </is>
      </c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</row>
    <row r="21">
      <c r="A21" s="17" t="inlineStr">
        <is>
          <t>Data</t>
        </is>
      </c>
      <c r="B21" s="17" t="inlineStr">
        <is>
          <t>De (conta)</t>
        </is>
      </c>
      <c r="C21" s="17" t="inlineStr">
        <is>
          <t>Para (conta)</t>
        </is>
      </c>
      <c r="D21" s="17" t="inlineStr">
        <is>
          <t>Valor</t>
        </is>
      </c>
      <c r="E21" s="17" t="inlineStr">
        <is>
          <t>Observação</t>
        </is>
      </c>
      <c r="F21" s="1" t="n"/>
      <c r="G21" s="1" t="n"/>
      <c r="H21" s="1" t="n"/>
      <c r="I21" s="1" t="n"/>
      <c r="J21" s="1" t="n"/>
      <c r="K21" s="1" t="n"/>
      <c r="L21" s="1" t="n"/>
    </row>
    <row r="22">
      <c r="A22" s="18" t="n">
        <v>46152</v>
      </c>
      <c r="B22" s="19" t="inlineStr">
        <is>
          <t>Nubank</t>
        </is>
      </c>
      <c r="C22" s="19" t="inlineStr">
        <is>
          <t>Carteira</t>
        </is>
      </c>
      <c r="D22" s="20" t="n">
        <v>200</v>
      </c>
      <c r="E22" s="19" t="inlineStr">
        <is>
          <t>Dinheiro p/ semana</t>
        </is>
      </c>
      <c r="F22" s="1" t="n"/>
      <c r="G22" s="1" t="n"/>
      <c r="H22" s="1" t="n"/>
      <c r="I22" s="1" t="n"/>
      <c r="J22" s="1" t="n"/>
      <c r="K22" s="1" t="n"/>
      <c r="L22" s="1" t="n"/>
    </row>
    <row r="23">
      <c r="A23" s="18" t="n">
        <v>46188</v>
      </c>
      <c r="B23" s="19" t="inlineStr">
        <is>
          <t>Itaú</t>
        </is>
      </c>
      <c r="C23" s="19" t="inlineStr">
        <is>
          <t>Nubank</t>
        </is>
      </c>
      <c r="D23" s="20" t="n">
        <v>400</v>
      </c>
      <c r="E23" s="19" t="inlineStr">
        <is>
          <t>Cobrir fatura</t>
        </is>
      </c>
      <c r="F23" s="1" t="n"/>
      <c r="G23" s="1" t="n"/>
      <c r="H23" s="1" t="n"/>
      <c r="I23" s="1" t="n"/>
      <c r="J23" s="1" t="n"/>
      <c r="K23" s="1" t="n"/>
      <c r="L23" s="1" t="n"/>
    </row>
    <row r="24">
      <c r="A24" s="18" t="n">
        <v>46204</v>
      </c>
      <c r="B24" s="19" t="inlineStr">
        <is>
          <t>Itaú</t>
        </is>
      </c>
      <c r="C24" s="19" t="inlineStr">
        <is>
          <t>Inter</t>
        </is>
      </c>
      <c r="D24" s="20" t="n">
        <v>300</v>
      </c>
      <c r="E24" s="19" t="inlineStr">
        <is>
          <t>Investimento</t>
        </is>
      </c>
      <c r="F24" s="1" t="n"/>
      <c r="G24" s="1" t="n"/>
      <c r="H24" s="1" t="n"/>
      <c r="I24" s="1" t="n"/>
      <c r="J24" s="1" t="n"/>
      <c r="K24" s="1" t="n"/>
      <c r="L24" s="1" t="n"/>
    </row>
    <row r="25">
      <c r="A25" s="18" t="n"/>
      <c r="B25" s="19" t="n"/>
      <c r="C25" s="19" t="n"/>
      <c r="D25" s="20" t="n"/>
      <c r="E25" s="19" t="n"/>
      <c r="F25" s="1" t="n"/>
      <c r="G25" s="1" t="n"/>
      <c r="H25" s="1" t="n"/>
      <c r="I25" s="1" t="n"/>
      <c r="J25" s="1" t="n"/>
      <c r="K25" s="1" t="n"/>
      <c r="L25" s="1" t="n"/>
    </row>
    <row r="26">
      <c r="A26" s="18" t="n"/>
      <c r="B26" s="19" t="n"/>
      <c r="C26" s="19" t="n"/>
      <c r="D26" s="20" t="n"/>
      <c r="E26" s="19" t="n"/>
      <c r="F26" s="1" t="n"/>
      <c r="G26" s="1" t="n"/>
      <c r="H26" s="1" t="n"/>
      <c r="I26" s="1" t="n"/>
      <c r="J26" s="1" t="n"/>
      <c r="K26" s="1" t="n"/>
      <c r="L26" s="1" t="n"/>
    </row>
    <row r="27">
      <c r="A27" s="18" t="n"/>
      <c r="B27" s="19" t="n"/>
      <c r="C27" s="19" t="n"/>
      <c r="D27" s="20" t="n"/>
      <c r="E27" s="19" t="n"/>
      <c r="F27" s="1" t="n"/>
      <c r="G27" s="1" t="n"/>
      <c r="H27" s="1" t="n"/>
      <c r="I27" s="1" t="n"/>
      <c r="J27" s="1" t="n"/>
      <c r="K27" s="1" t="n"/>
      <c r="L27" s="1" t="n"/>
    </row>
    <row r="28">
      <c r="A28" s="18" t="n"/>
      <c r="B28" s="19" t="n"/>
      <c r="C28" s="19" t="n"/>
      <c r="D28" s="20" t="n"/>
      <c r="E28" s="19" t="n"/>
      <c r="F28" s="1" t="n"/>
      <c r="G28" s="1" t="n"/>
      <c r="H28" s="1" t="n"/>
      <c r="I28" s="1" t="n"/>
      <c r="J28" s="1" t="n"/>
      <c r="K28" s="1" t="n"/>
      <c r="L28" s="1" t="n"/>
    </row>
    <row r="29">
      <c r="A29" s="18" t="n"/>
      <c r="B29" s="19" t="n"/>
      <c r="C29" s="19" t="n"/>
      <c r="D29" s="20" t="n"/>
      <c r="E29" s="19" t="n"/>
      <c r="F29" s="1" t="n"/>
      <c r="G29" s="1" t="n"/>
      <c r="H29" s="1" t="n"/>
      <c r="I29" s="1" t="n"/>
      <c r="J29" s="1" t="n"/>
      <c r="K29" s="1" t="n"/>
      <c r="L29" s="1" t="n"/>
    </row>
    <row r="30">
      <c r="A30" s="18" t="n"/>
      <c r="B30" s="19" t="n"/>
      <c r="C30" s="19" t="n"/>
      <c r="D30" s="20" t="n"/>
      <c r="E30" s="19" t="n"/>
      <c r="F30" s="1" t="n"/>
      <c r="G30" s="1" t="n"/>
      <c r="H30" s="1" t="n"/>
      <c r="I30" s="1" t="n"/>
      <c r="J30" s="1" t="n"/>
      <c r="K30" s="1" t="n"/>
      <c r="L30" s="1" t="n"/>
    </row>
    <row r="31">
      <c r="A31" s="18" t="n"/>
      <c r="B31" s="19" t="n"/>
      <c r="C31" s="19" t="n"/>
      <c r="D31" s="20" t="n"/>
      <c r="E31" s="19" t="n"/>
      <c r="F31" s="1" t="n"/>
      <c r="G31" s="1" t="n"/>
      <c r="H31" s="1" t="n"/>
      <c r="I31" s="1" t="n"/>
      <c r="J31" s="1" t="n"/>
      <c r="K31" s="1" t="n"/>
      <c r="L31" s="1" t="n"/>
    </row>
    <row r="32">
      <c r="A32" s="18" t="n"/>
      <c r="B32" s="19" t="n"/>
      <c r="C32" s="19" t="n"/>
      <c r="D32" s="20" t="n"/>
      <c r="E32" s="19" t="n"/>
      <c r="F32" s="1" t="n"/>
      <c r="G32" s="1" t="n"/>
      <c r="H32" s="1" t="n"/>
      <c r="I32" s="1" t="n"/>
      <c r="J32" s="1" t="n"/>
      <c r="K32" s="1" t="n"/>
      <c r="L32" s="1" t="n"/>
    </row>
    <row r="33">
      <c r="A33" s="18" t="n"/>
      <c r="B33" s="19" t="n"/>
      <c r="C33" s="19" t="n"/>
      <c r="D33" s="20" t="n"/>
      <c r="E33" s="19" t="n"/>
      <c r="F33" s="1" t="n"/>
      <c r="G33" s="1" t="n"/>
      <c r="H33" s="1" t="n"/>
      <c r="I33" s="1" t="n"/>
      <c r="J33" s="1" t="n"/>
      <c r="K33" s="1" t="n"/>
      <c r="L33" s="1" t="n"/>
    </row>
    <row r="34">
      <c r="A34" s="18" t="n"/>
      <c r="B34" s="19" t="n"/>
      <c r="C34" s="19" t="n"/>
      <c r="D34" s="20" t="n"/>
      <c r="E34" s="19" t="n"/>
      <c r="F34" s="1" t="n"/>
      <c r="G34" s="1" t="n"/>
      <c r="H34" s="1" t="n"/>
      <c r="I34" s="1" t="n"/>
      <c r="J34" s="1" t="n"/>
      <c r="K34" s="1" t="n"/>
      <c r="L34" s="1" t="n"/>
    </row>
    <row r="35">
      <c r="A35" s="18" t="n"/>
      <c r="B35" s="19" t="n"/>
      <c r="C35" s="19" t="n"/>
      <c r="D35" s="20" t="n"/>
      <c r="E35" s="19" t="n"/>
      <c r="F35" s="1" t="n"/>
      <c r="G35" s="1" t="n"/>
      <c r="H35" s="1" t="n"/>
      <c r="I35" s="1" t="n"/>
      <c r="J35" s="1" t="n"/>
      <c r="K35" s="1" t="n"/>
      <c r="L35" s="1" t="n"/>
    </row>
    <row r="36">
      <c r="A36" s="18" t="n"/>
      <c r="B36" s="19" t="n"/>
      <c r="C36" s="19" t="n"/>
      <c r="D36" s="20" t="n"/>
      <c r="E36" s="19" t="n"/>
      <c r="F36" s="1" t="n"/>
      <c r="G36" s="1" t="n"/>
      <c r="H36" s="1" t="n"/>
      <c r="I36" s="1" t="n"/>
      <c r="J36" s="1" t="n"/>
      <c r="K36" s="1" t="n"/>
      <c r="L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conditionalFormatting sqref="G7:G14">
    <cfRule type="expression" priority="1" dxfId="7">
      <formula>AND($A7&lt;&gt;"",$G7&lt;0)</formula>
    </cfRule>
  </conditionalFormatting>
  <dataValidations count="2">
    <dataValidation sqref="B22:B36" showDropDown="0" showInputMessage="0" showErrorMessage="0" allowBlank="1" type="list">
      <formula1>=ListaContas</formula1>
    </dataValidation>
    <dataValidation sqref="C22:C36" showDropDown="0" showInputMessage="0" showErrorMessage="0" allowBlank="1" type="list">
      <formula1>=ListaContas</formula1>
    </dataValidation>
  </dataValidations>
  <hyperlinks>
    <hyperlink ref="B1" location="'📊 Dashboard'!A1" tooltip="Ir para 📊 Dashboard"/>
    <hyperlink ref="C1" location="'💰 Receitas'!A1" tooltip="Ir para 💰 Receitas"/>
    <hyperlink ref="D1" location="'💸 Despesas'!A1" tooltip="Ir para 💸 Despesas"/>
    <hyperlink ref="E1" location="'🏦 Contas'!A1" tooltip="Ir para 🏦 Contas"/>
    <hyperlink ref="F1" location="'💳 Cartões'!A1" tooltip="Ir para 💳 Cartões"/>
    <hyperlink ref="G1" location="'🎯 Metas'!A1" tooltip="Ir para 🎯 Metas"/>
    <hyperlink ref="H1" location="'📅 Planejamento'!A1" tooltip="Ir para 📅 Planejamento"/>
    <hyperlink ref="I1" location="'📈 Relatórios'!A1" tooltip="Ir para 📈 Relatórios"/>
    <hyperlink ref="J1" location="'🔔 Alertas'!A1" tooltip="Ir para 🔔 Alertas"/>
    <hyperlink ref="K1" location="'⚙️ Config'!A1" tooltip="Ir para ⚙️ Config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B5E20"/>
    <outlinePr summaryBelow="1" summaryRight="1"/>
    <pageSetUpPr/>
  </sheetPr>
  <dimension ref="A1:K32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7" customWidth="1" min="4" max="4"/>
    <col width="12" customWidth="1" min="5" max="5"/>
    <col width="15" customWidth="1" min="6" max="6"/>
    <col width="15" customWidth="1" min="7" max="7"/>
    <col width="15" customWidth="1" min="8" max="8"/>
    <col width="19" customWidth="1" min="9" max="9"/>
  </cols>
  <sheetData>
    <row r="1" ht="24" customHeight="1">
      <c r="A1" s="1" t="n"/>
      <c r="B1" s="3" t="inlineStr">
        <is>
          <t>📊 Início</t>
        </is>
      </c>
      <c r="C1" s="3" t="inlineStr">
        <is>
          <t>💰 Receitas</t>
        </is>
      </c>
      <c r="D1" s="3" t="inlineStr">
        <is>
          <t>💸 Despesas</t>
        </is>
      </c>
      <c r="E1" s="3" t="inlineStr">
        <is>
          <t>🏦 Contas</t>
        </is>
      </c>
      <c r="F1" s="2" t="inlineStr">
        <is>
          <t>💳 Cartões</t>
        </is>
      </c>
      <c r="G1" s="3" t="inlineStr">
        <is>
          <t>🎯 Metas</t>
        </is>
      </c>
      <c r="H1" s="3" t="inlineStr">
        <is>
          <t>📅 Orçamento</t>
        </is>
      </c>
      <c r="I1" s="3" t="inlineStr">
        <is>
          <t>📈 Relatórios</t>
        </is>
      </c>
      <c r="J1" s="3" t="inlineStr">
        <is>
          <t>🔔 Alertas</t>
        </is>
      </c>
      <c r="K1" s="3" t="inlineStr">
        <is>
          <t>⚙️ Config</t>
        </is>
      </c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1" t="n"/>
      <c r="B3" s="4" t="inlineStr">
        <is>
          <t>💳 Controle de Cartões</t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>
      <c r="A4" s="1" t="n"/>
      <c r="B4" s="7" t="inlineStr">
        <is>
          <t>A fatura soma as compras no crédito ainda não pagas na aba 💸 Despesas.</t>
        </is>
      </c>
      <c r="C4" s="1" t="n"/>
      <c r="D4" s="1" t="n"/>
      <c r="E4" s="1" t="n"/>
      <c r="F4" s="1" t="n"/>
      <c r="G4" s="1" t="n"/>
      <c r="H4" s="1" t="n"/>
      <c r="I4" s="1" t="n"/>
      <c r="J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6">
      <c r="A6" s="17" t="inlineStr">
        <is>
          <t>Cartão</t>
        </is>
      </c>
      <c r="B6" s="17" t="inlineStr">
        <is>
          <t>Limite</t>
        </is>
      </c>
      <c r="C6" s="17" t="inlineStr">
        <is>
          <t>Fatura Atual</t>
        </is>
      </c>
      <c r="D6" s="17" t="inlineStr">
        <is>
          <t>Limite Disponível</t>
        </is>
      </c>
      <c r="E6" s="17" t="inlineStr">
        <is>
          <t>% Utilizado</t>
        </is>
      </c>
      <c r="F6" s="17" t="inlineStr">
        <is>
          <t>Uso do limite</t>
        </is>
      </c>
      <c r="G6" s="17" t="inlineStr">
        <is>
          <t>Dia Fechamento</t>
        </is>
      </c>
      <c r="H6" s="17" t="inlineStr">
        <is>
          <t>Dia Vencimento</t>
        </is>
      </c>
      <c r="I6" s="17" t="inlineStr">
        <is>
          <t>Melhor Dia de Compra</t>
        </is>
      </c>
      <c r="J6" s="1" t="n"/>
    </row>
    <row r="7">
      <c r="A7" s="19" t="inlineStr">
        <is>
          <t>Nubank</t>
        </is>
      </c>
      <c r="B7" s="20" t="n">
        <v>4500</v>
      </c>
      <c r="C7" s="30">
        <f>IF($A7="","",SUMIFS('💸 Despesas'!$D:$D,'💸 Despesas'!$F:$F,$A7,'💸 Despesas'!$E:$E,"Crédito",'💸 Despesas'!$I:$I,"Não"))</f>
        <v/>
      </c>
      <c r="D7" s="26">
        <f>IF($A7="","",$B7-$C7)</f>
        <v/>
      </c>
      <c r="E7" s="31">
        <f>IF(OR($A7="",$B7=0),"",$C7/$B7)</f>
        <v/>
      </c>
      <c r="F7" s="32">
        <f>IF($E7="","",REPT("█",MIN(10,ROUND($E7*10,0)))&amp;REPT("░",10-MIN(10,ROUND($E7*10,0))))</f>
        <v/>
      </c>
      <c r="G7" s="21" t="n">
        <v>28</v>
      </c>
      <c r="H7" s="21" t="n">
        <v>5</v>
      </c>
      <c r="I7" s="33">
        <f>IF($G7="","",IF($G7&gt;=28,1,$G7+1))</f>
        <v/>
      </c>
      <c r="J7" s="1" t="n"/>
    </row>
    <row r="8">
      <c r="A8" s="19" t="inlineStr">
        <is>
          <t>Itaú</t>
        </is>
      </c>
      <c r="B8" s="20" t="n">
        <v>6000</v>
      </c>
      <c r="C8" s="30">
        <f>IF($A8="","",SUMIFS('💸 Despesas'!$D:$D,'💸 Despesas'!$F:$F,$A8,'💸 Despesas'!$E:$E,"Crédito",'💸 Despesas'!$I:$I,"Não"))</f>
        <v/>
      </c>
      <c r="D8" s="26">
        <f>IF($A8="","",$B8-$C8)</f>
        <v/>
      </c>
      <c r="E8" s="31">
        <f>IF(OR($A8="",$B8=0),"",$C8/$B8)</f>
        <v/>
      </c>
      <c r="F8" s="32">
        <f>IF($E8="","",REPT("█",MIN(10,ROUND($E8*10,0)))&amp;REPT("░",10-MIN(10,ROUND($E8*10,0))))</f>
        <v/>
      </c>
      <c r="G8" s="21" t="n">
        <v>25</v>
      </c>
      <c r="H8" s="21" t="n">
        <v>3</v>
      </c>
      <c r="I8" s="33">
        <f>IF($G8="","",IF($G8&gt;=28,1,$G8+1))</f>
        <v/>
      </c>
      <c r="J8" s="1" t="n"/>
    </row>
    <row r="9">
      <c r="A9" s="19" t="inlineStr">
        <is>
          <t>Inter</t>
        </is>
      </c>
      <c r="B9" s="20" t="n">
        <v>2000</v>
      </c>
      <c r="C9" s="30">
        <f>IF($A9="","",SUMIFS('💸 Despesas'!$D:$D,'💸 Despesas'!$F:$F,$A9,'💸 Despesas'!$E:$E,"Crédito",'💸 Despesas'!$I:$I,"Não"))</f>
        <v/>
      </c>
      <c r="D9" s="26">
        <f>IF($A9="","",$B9-$C9)</f>
        <v/>
      </c>
      <c r="E9" s="31">
        <f>IF(OR($A9="",$B9=0),"",$C9/$B9)</f>
        <v/>
      </c>
      <c r="F9" s="32">
        <f>IF($E9="","",REPT("█",MIN(10,ROUND($E9*10,0)))&amp;REPT("░",10-MIN(10,ROUND($E9*10,0))))</f>
        <v/>
      </c>
      <c r="G9" s="21" t="n">
        <v>20</v>
      </c>
      <c r="H9" s="21" t="n">
        <v>27</v>
      </c>
      <c r="I9" s="33">
        <f>IF($G9="","",IF($G9&gt;=28,1,$G9+1))</f>
        <v/>
      </c>
      <c r="J9" s="1" t="n"/>
    </row>
    <row r="10">
      <c r="A10" s="19" t="n"/>
      <c r="B10" s="20" t="n"/>
      <c r="C10" s="30">
        <f>IF($A10="","",SUMIFS('💸 Despesas'!$D:$D,'💸 Despesas'!$F:$F,$A10,'💸 Despesas'!$E:$E,"Crédito",'💸 Despesas'!$I:$I,"Não"))</f>
        <v/>
      </c>
      <c r="D10" s="26">
        <f>IF($A10="","",$B10-$C10)</f>
        <v/>
      </c>
      <c r="E10" s="31">
        <f>IF(OR($A10="",$B10=0),"",$C10/$B10)</f>
        <v/>
      </c>
      <c r="F10" s="32">
        <f>IF($E10="","",REPT("█",MIN(10,ROUND($E10*10,0)))&amp;REPT("░",10-MIN(10,ROUND($E10*10,0))))</f>
        <v/>
      </c>
      <c r="G10" s="21" t="n"/>
      <c r="H10" s="21" t="n"/>
      <c r="I10" s="33">
        <f>IF($G10="","",IF($G10&gt;=28,1,$G10+1))</f>
        <v/>
      </c>
      <c r="J10" s="1" t="n"/>
    </row>
    <row r="11">
      <c r="A11" s="19" t="n"/>
      <c r="B11" s="20" t="n"/>
      <c r="C11" s="30">
        <f>IF($A11="","",SUMIFS('💸 Despesas'!$D:$D,'💸 Despesas'!$F:$F,$A11,'💸 Despesas'!$E:$E,"Crédito",'💸 Despesas'!$I:$I,"Não"))</f>
        <v/>
      </c>
      <c r="D11" s="26">
        <f>IF($A11="","",$B11-$C11)</f>
        <v/>
      </c>
      <c r="E11" s="31">
        <f>IF(OR($A11="",$B11=0),"",$C11/$B11)</f>
        <v/>
      </c>
      <c r="F11" s="32">
        <f>IF($E11="","",REPT("█",MIN(10,ROUND($E11*10,0)))&amp;REPT("░",10-MIN(10,ROUND($E11*10,0))))</f>
        <v/>
      </c>
      <c r="G11" s="21" t="n"/>
      <c r="H11" s="21" t="n"/>
      <c r="I11" s="33">
        <f>IF($G11="","",IF($G11&gt;=28,1,$G11+1))</f>
        <v/>
      </c>
      <c r="J11" s="1" t="n"/>
    </row>
    <row r="12">
      <c r="A12" s="19" t="n"/>
      <c r="B12" s="20" t="n"/>
      <c r="C12" s="30">
        <f>IF($A12="","",SUMIFS('💸 Despesas'!$D:$D,'💸 Despesas'!$F:$F,$A12,'💸 Despesas'!$E:$E,"Crédito",'💸 Despesas'!$I:$I,"Não"))</f>
        <v/>
      </c>
      <c r="D12" s="26">
        <f>IF($A12="","",$B12-$C12)</f>
        <v/>
      </c>
      <c r="E12" s="31">
        <f>IF(OR($A12="",$B12=0),"",$C12/$B12)</f>
        <v/>
      </c>
      <c r="F12" s="32">
        <f>IF($E12="","",REPT("█",MIN(10,ROUND($E12*10,0)))&amp;REPT("░",10-MIN(10,ROUND($E12*10,0))))</f>
        <v/>
      </c>
      <c r="G12" s="21" t="n"/>
      <c r="H12" s="21" t="n"/>
      <c r="I12" s="33">
        <f>IF($G12="","",IF($G12&gt;=28,1,$G12+1))</f>
        <v/>
      </c>
      <c r="J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</row>
    <row r="15">
      <c r="A15" s="29" t="inlineStr">
        <is>
          <t>📆 Parcelamentos em andamento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</row>
    <row r="17">
      <c r="A17" s="17" t="inlineStr">
        <is>
          <t>Descrição</t>
        </is>
      </c>
      <c r="B17" s="17" t="inlineStr">
        <is>
          <t>Cartão</t>
        </is>
      </c>
      <c r="C17" s="17" t="inlineStr">
        <is>
          <t>Valor Total</t>
        </is>
      </c>
      <c r="D17" s="17" t="inlineStr">
        <is>
          <t>Nº Parcelas</t>
        </is>
      </c>
      <c r="E17" s="17" t="inlineStr">
        <is>
          <t>Valor da Parcela</t>
        </is>
      </c>
      <c r="F17" s="17" t="inlineStr">
        <is>
          <t>Parcelas Pagas</t>
        </is>
      </c>
      <c r="G17" s="17" t="inlineStr">
        <is>
          <t>Falta Pagar</t>
        </is>
      </c>
      <c r="H17" s="17" t="inlineStr">
        <is>
          <t>Situação</t>
        </is>
      </c>
      <c r="I17" s="1" t="n"/>
      <c r="J17" s="1" t="n"/>
    </row>
    <row r="18">
      <c r="A18" s="19" t="inlineStr">
        <is>
          <t>Notebook Dell</t>
        </is>
      </c>
      <c r="B18" s="19" t="inlineStr">
        <is>
          <t>Itaú</t>
        </is>
      </c>
      <c r="C18" s="20" t="n">
        <v>3600</v>
      </c>
      <c r="D18" s="21" t="n">
        <v>12</v>
      </c>
      <c r="E18" s="25">
        <f>IF(OR($C18="",$D18=""),"",$C18/$D18)</f>
        <v/>
      </c>
      <c r="F18" s="21" t="n">
        <v>6</v>
      </c>
      <c r="G18" s="30">
        <f>IF($E18="","",$C18-$E18*$F18)</f>
        <v/>
      </c>
      <c r="H18" s="34">
        <f>IF($E18="","",IF($F18&gt;=$D18,"✅ Quitado","⏳ "&amp;$F18&amp;"/"&amp;$D18&amp;" pagas"))</f>
        <v/>
      </c>
      <c r="I18" s="1" t="n"/>
      <c r="J18" s="1" t="n"/>
    </row>
    <row r="19">
      <c r="A19" s="19" t="inlineStr">
        <is>
          <t>Smartphone</t>
        </is>
      </c>
      <c r="B19" s="19" t="inlineStr">
        <is>
          <t>Nubank</t>
        </is>
      </c>
      <c r="C19" s="20" t="n">
        <v>2400</v>
      </c>
      <c r="D19" s="21" t="n">
        <v>10</v>
      </c>
      <c r="E19" s="25">
        <f>IF(OR($C19="",$D19=""),"",$C19/$D19)</f>
        <v/>
      </c>
      <c r="F19" s="21" t="n">
        <v>3</v>
      </c>
      <c r="G19" s="30">
        <f>IF($E19="","",$C19-$E19*$F19)</f>
        <v/>
      </c>
      <c r="H19" s="34">
        <f>IF($E19="","",IF($F19&gt;=$D19,"✅ Quitado","⏳ "&amp;$F19&amp;"/"&amp;$D19&amp;" pagas"))</f>
        <v/>
      </c>
      <c r="I19" s="1" t="n"/>
      <c r="J19" s="1" t="n"/>
    </row>
    <row r="20">
      <c r="A20" s="19" t="n"/>
      <c r="B20" s="19" t="n"/>
      <c r="C20" s="20" t="n"/>
      <c r="D20" s="21" t="n"/>
      <c r="E20" s="25">
        <f>IF(OR($C20="",$D20=""),"",$C20/$D20)</f>
        <v/>
      </c>
      <c r="F20" s="21" t="n"/>
      <c r="G20" s="30">
        <f>IF($E20="","",$C20-$E20*$F20)</f>
        <v/>
      </c>
      <c r="H20" s="34">
        <f>IF($E20="","",IF($F20&gt;=$D20,"✅ Quitado","⏳ "&amp;$F20&amp;"/"&amp;$D20&amp;" pagas"))</f>
        <v/>
      </c>
      <c r="I20" s="1" t="n"/>
      <c r="J20" s="1" t="n"/>
    </row>
    <row r="21">
      <c r="A21" s="19" t="n"/>
      <c r="B21" s="19" t="n"/>
      <c r="C21" s="20" t="n"/>
      <c r="D21" s="21" t="n"/>
      <c r="E21" s="25">
        <f>IF(OR($C21="",$D21=""),"",$C21/$D21)</f>
        <v/>
      </c>
      <c r="F21" s="21" t="n"/>
      <c r="G21" s="30">
        <f>IF($E21="","",$C21-$E21*$F21)</f>
        <v/>
      </c>
      <c r="H21" s="34">
        <f>IF($E21="","",IF($F21&gt;=$D21,"✅ Quitado","⏳ "&amp;$F21&amp;"/"&amp;$D21&amp;" pagas"))</f>
        <v/>
      </c>
      <c r="I21" s="1" t="n"/>
      <c r="J21" s="1" t="n"/>
    </row>
    <row r="22">
      <c r="A22" s="19" t="n"/>
      <c r="B22" s="19" t="n"/>
      <c r="C22" s="20" t="n"/>
      <c r="D22" s="21" t="n"/>
      <c r="E22" s="25">
        <f>IF(OR($C22="",$D22=""),"",$C22/$D22)</f>
        <v/>
      </c>
      <c r="F22" s="21" t="n"/>
      <c r="G22" s="30">
        <f>IF($E22="","",$C22-$E22*$F22)</f>
        <v/>
      </c>
      <c r="H22" s="34">
        <f>IF($E22="","",IF($F22&gt;=$D22,"✅ Quitado","⏳ "&amp;$F22&amp;"/"&amp;$D22&amp;" pagas"))</f>
        <v/>
      </c>
      <c r="I22" s="1" t="n"/>
      <c r="J22" s="1" t="n"/>
    </row>
    <row r="23">
      <c r="A23" s="19" t="n"/>
      <c r="B23" s="19" t="n"/>
      <c r="C23" s="20" t="n"/>
      <c r="D23" s="21" t="n"/>
      <c r="E23" s="25">
        <f>IF(OR($C23="",$D23=""),"",$C23/$D23)</f>
        <v/>
      </c>
      <c r="F23" s="21" t="n"/>
      <c r="G23" s="30">
        <f>IF($E23="","",$C23-$E23*$F23)</f>
        <v/>
      </c>
      <c r="H23" s="34">
        <f>IF($E23="","",IF($F23&gt;=$D23,"✅ Quitado","⏳ "&amp;$F23&amp;"/"&amp;$D23&amp;" pagas"))</f>
        <v/>
      </c>
      <c r="I23" s="1" t="n"/>
      <c r="J23" s="1" t="n"/>
    </row>
    <row r="24">
      <c r="A24" s="19" t="n"/>
      <c r="B24" s="19" t="n"/>
      <c r="C24" s="20" t="n"/>
      <c r="D24" s="21" t="n"/>
      <c r="E24" s="25">
        <f>IF(OR($C24="",$D24=""),"",$C24/$D24)</f>
        <v/>
      </c>
      <c r="F24" s="21" t="n"/>
      <c r="G24" s="30">
        <f>IF($E24="","",$C24-$E24*$F24)</f>
        <v/>
      </c>
      <c r="H24" s="34">
        <f>IF($E24="","",IF($F24&gt;=$D24,"✅ Quitado","⏳ "&amp;$F24&amp;"/"&amp;$D24&amp;" pagas"))</f>
        <v/>
      </c>
      <c r="I24" s="1" t="n"/>
      <c r="J24" s="1" t="n"/>
    </row>
    <row r="25">
      <c r="A25" s="19" t="n"/>
      <c r="B25" s="19" t="n"/>
      <c r="C25" s="20" t="n"/>
      <c r="D25" s="21" t="n"/>
      <c r="E25" s="25">
        <f>IF(OR($C25="",$D25=""),"",$C25/$D25)</f>
        <v/>
      </c>
      <c r="F25" s="21" t="n"/>
      <c r="G25" s="30">
        <f>IF($E25="","",$C25-$E25*$F25)</f>
        <v/>
      </c>
      <c r="H25" s="34">
        <f>IF($E25="","",IF($F25&gt;=$D25,"✅ Quitado","⏳ "&amp;$F25&amp;"/"&amp;$D25&amp;" pagas"))</f>
        <v/>
      </c>
      <c r="I25" s="1" t="n"/>
      <c r="J25" s="1" t="n"/>
    </row>
    <row r="26">
      <c r="A26" s="19" t="n"/>
      <c r="B26" s="19" t="n"/>
      <c r="C26" s="20" t="n"/>
      <c r="D26" s="21" t="n"/>
      <c r="E26" s="25">
        <f>IF(OR($C26="",$D26=""),"",$C26/$D26)</f>
        <v/>
      </c>
      <c r="F26" s="21" t="n"/>
      <c r="G26" s="30">
        <f>IF($E26="","",$C26-$E26*$F26)</f>
        <v/>
      </c>
      <c r="H26" s="34">
        <f>IF($E26="","",IF($F26&gt;=$D26,"✅ Quitado","⏳ "&amp;$F26&amp;"/"&amp;$D26&amp;" pagas"))</f>
        <v/>
      </c>
      <c r="I26" s="1" t="n"/>
      <c r="J26" s="1" t="n"/>
    </row>
    <row r="27">
      <c r="A27" s="19" t="n"/>
      <c r="B27" s="19" t="n"/>
      <c r="C27" s="20" t="n"/>
      <c r="D27" s="21" t="n"/>
      <c r="E27" s="25">
        <f>IF(OR($C27="",$D27=""),"",$C27/$D27)</f>
        <v/>
      </c>
      <c r="F27" s="21" t="n"/>
      <c r="G27" s="30">
        <f>IF($E27="","",$C27-$E27*$F27)</f>
        <v/>
      </c>
      <c r="H27" s="34">
        <f>IF($E27="","",IF($F27&gt;=$D27,"✅ Quitado","⏳ "&amp;$F27&amp;"/"&amp;$D27&amp;" pagas"))</f>
        <v/>
      </c>
      <c r="I27" s="1" t="n"/>
      <c r="J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conditionalFormatting sqref="E7:E12">
    <cfRule type="expression" priority="1" dxfId="7">
      <formula>AND($E7&lt;&gt;"",$E7&gt;=0.8)</formula>
    </cfRule>
    <cfRule type="expression" priority="2" dxfId="6">
      <formula>AND($E7&lt;&gt;"",$E7&gt;=0.5)</formula>
    </cfRule>
  </conditionalFormatting>
  <dataValidations count="2">
    <dataValidation sqref="B18:B27" showDropDown="0" showInputMessage="0" showErrorMessage="0" allowBlank="1" type="list">
      <formula1>=ListaCartoes</formula1>
    </dataValidation>
    <dataValidation sqref="A7:A12" showDropDown="0" showInputMessage="0" showErrorMessage="0" allowBlank="1" type="list">
      <formula1>=ListaCartoes</formula1>
    </dataValidation>
  </dataValidations>
  <hyperlinks>
    <hyperlink ref="B1" location="'📊 Dashboard'!A1" tooltip="Ir para 📊 Dashboard"/>
    <hyperlink ref="C1" location="'💰 Receitas'!A1" tooltip="Ir para 💰 Receitas"/>
    <hyperlink ref="D1" location="'💸 Despesas'!A1" tooltip="Ir para 💸 Despesas"/>
    <hyperlink ref="E1" location="'🏦 Contas'!A1" tooltip="Ir para 🏦 Contas"/>
    <hyperlink ref="F1" location="'💳 Cartões'!A1" tooltip="Ir para 💳 Cartões"/>
    <hyperlink ref="G1" location="'🎯 Metas'!A1" tooltip="Ir para 🎯 Metas"/>
    <hyperlink ref="H1" location="'📅 Planejamento'!A1" tooltip="Ir para 📅 Planejamento"/>
    <hyperlink ref="I1" location="'📈 Relatórios'!A1" tooltip="Ir para 📈 Relatórios"/>
    <hyperlink ref="J1" location="'🔔 Alertas'!A1" tooltip="Ir para 🔔 Alertas"/>
    <hyperlink ref="K1" location="'⚙️ Config'!A1" tooltip="Ir para ⚙️ Config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B5E20"/>
    <outlinePr summaryBelow="1" summaryRight="1"/>
    <pageSetUpPr/>
  </sheetPr>
  <dimension ref="A1:L2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5" customWidth="1" min="4" max="4"/>
    <col width="15" customWidth="1" min="5" max="5"/>
    <col width="9" customWidth="1" min="6" max="6"/>
    <col width="14" customWidth="1" min="7" max="7"/>
    <col width="10" customWidth="1" min="8" max="8"/>
    <col width="15" customWidth="1" min="9" max="9"/>
    <col width="18" customWidth="1" min="10" max="10"/>
  </cols>
  <sheetData>
    <row r="1" ht="24" customHeight="1">
      <c r="A1" s="1" t="n"/>
      <c r="B1" s="3" t="inlineStr">
        <is>
          <t>📊 Início</t>
        </is>
      </c>
      <c r="C1" s="3" t="inlineStr">
        <is>
          <t>💰 Receitas</t>
        </is>
      </c>
      <c r="D1" s="3" t="inlineStr">
        <is>
          <t>💸 Despesas</t>
        </is>
      </c>
      <c r="E1" s="3" t="inlineStr">
        <is>
          <t>🏦 Contas</t>
        </is>
      </c>
      <c r="F1" s="3" t="inlineStr">
        <is>
          <t>💳 Cartões</t>
        </is>
      </c>
      <c r="G1" s="2" t="inlineStr">
        <is>
          <t>🎯 Metas</t>
        </is>
      </c>
      <c r="H1" s="3" t="inlineStr">
        <is>
          <t>📅 Orçamento</t>
        </is>
      </c>
      <c r="I1" s="3" t="inlineStr">
        <is>
          <t>📈 Relatórios</t>
        </is>
      </c>
      <c r="J1" s="3" t="inlineStr">
        <is>
          <t>🔔 Alertas</t>
        </is>
      </c>
      <c r="K1" s="3" t="inlineStr">
        <is>
          <t>⚙️ Config</t>
        </is>
      </c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1" t="n"/>
      <c r="B3" s="4" t="inlineStr">
        <is>
          <t>🎯 Metas Financeiras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>
      <c r="A4" s="1" t="n"/>
      <c r="B4" s="7" t="inlineStr">
        <is>
          <t>Informe a meta, o quanto já guardou e o aporte mensal — o resto é automático.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>
      <c r="A6" s="17" t="inlineStr">
        <is>
          <t>Meta</t>
        </is>
      </c>
      <c r="B6" s="17" t="inlineStr">
        <is>
          <t>Valor Desejado</t>
        </is>
      </c>
      <c r="C6" s="17" t="inlineStr">
        <is>
          <t>Valor Guardado</t>
        </is>
      </c>
      <c r="D6" s="17" t="inlineStr">
        <is>
          <t>Valor Restante</t>
        </is>
      </c>
      <c r="E6" s="17" t="inlineStr">
        <is>
          <t>Progresso</t>
        </is>
      </c>
      <c r="F6" s="17" t="inlineStr">
        <is>
          <t>%</t>
        </is>
      </c>
      <c r="G6" s="17" t="inlineStr">
        <is>
          <t>Aporte Mensal</t>
        </is>
      </c>
      <c r="H6" s="17" t="inlineStr">
        <is>
          <t>Meses Restantes</t>
        </is>
      </c>
      <c r="I6" s="17" t="inlineStr">
        <is>
          <t>Previsão de Conclusão</t>
        </is>
      </c>
      <c r="J6" s="17" t="inlineStr">
        <is>
          <t>Status</t>
        </is>
      </c>
      <c r="K6" s="1" t="n"/>
      <c r="L6" s="1" t="n"/>
    </row>
    <row r="7">
      <c r="A7" s="19" t="inlineStr">
        <is>
          <t>Reserva de emergência</t>
        </is>
      </c>
      <c r="B7" s="20" t="n">
        <v>15000</v>
      </c>
      <c r="C7" s="20" t="n">
        <v>8200</v>
      </c>
      <c r="D7" s="25">
        <f>IF($B7="","",MAX($B7-$C7,0))</f>
        <v/>
      </c>
      <c r="E7" s="32">
        <f>IF($B7="","",REPT("█",MIN(10,ROUND($F7*10,0)))&amp;REPT("░",10-MIN(10,ROUND($F7*10,0))))</f>
        <v/>
      </c>
      <c r="F7" s="35">
        <f>IF($B7="","",MIN($C7/$B7,1))</f>
        <v/>
      </c>
      <c r="G7" s="20" t="n">
        <v>600</v>
      </c>
      <c r="H7" s="34">
        <f>IF(OR($B7="",$C7&gt;=$B7),"",IF($G7&gt;0,ROUNDUP(($B7-$C7)/$G7,0),"—"))</f>
        <v/>
      </c>
      <c r="I7" s="36">
        <f>IF(OR($B7="",$C7&gt;=$B7,$G7&lt;=0),"",EDATE(TODAY(),ROUNDUP(($B7-$C7)/$G7,0)))</f>
        <v/>
      </c>
      <c r="J7" s="34">
        <f>IF($B7="","",IF($C7&gt;=$B7,"🎉 Atingida!",IF($F7&gt;=0.7,"🔥 Quase lá",IF($F7&gt;=0.3,"💪 Em progresso","🚀 Começando"))))</f>
        <v/>
      </c>
      <c r="K7" s="1" t="n"/>
      <c r="L7" s="1" t="n"/>
    </row>
    <row r="8">
      <c r="A8" s="19" t="inlineStr">
        <is>
          <t>Viagem de férias</t>
        </is>
      </c>
      <c r="B8" s="20" t="n">
        <v>6000</v>
      </c>
      <c r="C8" s="20" t="n">
        <v>2100</v>
      </c>
      <c r="D8" s="25">
        <f>IF($B8="","",MAX($B8-$C8,0))</f>
        <v/>
      </c>
      <c r="E8" s="32">
        <f>IF($B8="","",REPT("█",MIN(10,ROUND($F8*10,0)))&amp;REPT("░",10-MIN(10,ROUND($F8*10,0))))</f>
        <v/>
      </c>
      <c r="F8" s="35">
        <f>IF($B8="","",MIN($C8/$B8,1))</f>
        <v/>
      </c>
      <c r="G8" s="20" t="n">
        <v>400</v>
      </c>
      <c r="H8" s="34">
        <f>IF(OR($B8="",$C8&gt;=$B8),"",IF($G8&gt;0,ROUNDUP(($B8-$C8)/$G8,0),"—"))</f>
        <v/>
      </c>
      <c r="I8" s="36">
        <f>IF(OR($B8="",$C8&gt;=$B8,$G8&lt;=0),"",EDATE(TODAY(),ROUNDUP(($B8-$C8)/$G8,0)))</f>
        <v/>
      </c>
      <c r="J8" s="34">
        <f>IF($B8="","",IF($C8&gt;=$B8,"🎉 Atingida!",IF($F8&gt;=0.7,"🔥 Quase lá",IF($F8&gt;=0.3,"💪 Em progresso","🚀 Começando"))))</f>
        <v/>
      </c>
      <c r="K8" s="1" t="n"/>
      <c r="L8" s="1" t="n"/>
    </row>
    <row r="9">
      <c r="A9" s="19" t="inlineStr">
        <is>
          <t>Notebook novo</t>
        </is>
      </c>
      <c r="B9" s="20" t="n">
        <v>4500</v>
      </c>
      <c r="C9" s="20" t="n">
        <v>4500</v>
      </c>
      <c r="D9" s="25">
        <f>IF($B9="","",MAX($B9-$C9,0))</f>
        <v/>
      </c>
      <c r="E9" s="32">
        <f>IF($B9="","",REPT("█",MIN(10,ROUND($F9*10,0)))&amp;REPT("░",10-MIN(10,ROUND($F9*10,0))))</f>
        <v/>
      </c>
      <c r="F9" s="35">
        <f>IF($B9="","",MIN($C9/$B9,1))</f>
        <v/>
      </c>
      <c r="G9" s="20" t="n">
        <v>0</v>
      </c>
      <c r="H9" s="34">
        <f>IF(OR($B9="",$C9&gt;=$B9),"",IF($G9&gt;0,ROUNDUP(($B9-$C9)/$G9,0),"—"))</f>
        <v/>
      </c>
      <c r="I9" s="36">
        <f>IF(OR($B9="",$C9&gt;=$B9,$G9&lt;=0),"",EDATE(TODAY(),ROUNDUP(($B9-$C9)/$G9,0)))</f>
        <v/>
      </c>
      <c r="J9" s="34">
        <f>IF($B9="","",IF($C9&gt;=$B9,"🎉 Atingida!",IF($F9&gt;=0.7,"🔥 Quase lá",IF($F9&gt;=0.3,"💪 Em progresso","🚀 Começando"))))</f>
        <v/>
      </c>
      <c r="K9" s="1" t="n"/>
      <c r="L9" s="1" t="n"/>
    </row>
    <row r="10">
      <c r="A10" s="19" t="inlineStr">
        <is>
          <t>Entrada do apartamento</t>
        </is>
      </c>
      <c r="B10" s="20" t="n">
        <v>40000</v>
      </c>
      <c r="C10" s="20" t="n">
        <v>5500</v>
      </c>
      <c r="D10" s="25">
        <f>IF($B10="","",MAX($B10-$C10,0))</f>
        <v/>
      </c>
      <c r="E10" s="32">
        <f>IF($B10="","",REPT("█",MIN(10,ROUND($F10*10,0)))&amp;REPT("░",10-MIN(10,ROUND($F10*10,0))))</f>
        <v/>
      </c>
      <c r="F10" s="35">
        <f>IF($B10="","",MIN($C10/$B10,1))</f>
        <v/>
      </c>
      <c r="G10" s="20" t="n">
        <v>800</v>
      </c>
      <c r="H10" s="34">
        <f>IF(OR($B10="",$C10&gt;=$B10),"",IF($G10&gt;0,ROUNDUP(($B10-$C10)/$G10,0),"—"))</f>
        <v/>
      </c>
      <c r="I10" s="36">
        <f>IF(OR($B10="",$C10&gt;=$B10,$G10&lt;=0),"",EDATE(TODAY(),ROUNDUP(($B10-$C10)/$G10,0)))</f>
        <v/>
      </c>
      <c r="J10" s="34">
        <f>IF($B10="","",IF($C10&gt;=$B10,"🎉 Atingida!",IF($F10&gt;=0.7,"🔥 Quase lá",IF($F10&gt;=0.3,"💪 Em progresso","🚀 Começando"))))</f>
        <v/>
      </c>
      <c r="K10" s="1" t="n"/>
      <c r="L10" s="1" t="n"/>
    </row>
    <row r="11">
      <c r="A11" s="19" t="n"/>
      <c r="B11" s="20" t="n"/>
      <c r="C11" s="20" t="n"/>
      <c r="D11" s="25">
        <f>IF($B11="","",MAX($B11-$C11,0))</f>
        <v/>
      </c>
      <c r="E11" s="32">
        <f>IF($B11="","",REPT("█",MIN(10,ROUND($F11*10,0)))&amp;REPT("░",10-MIN(10,ROUND($F11*10,0))))</f>
        <v/>
      </c>
      <c r="F11" s="35">
        <f>IF($B11="","",MIN($C11/$B11,1))</f>
        <v/>
      </c>
      <c r="G11" s="20" t="n"/>
      <c r="H11" s="34">
        <f>IF(OR($B11="",$C11&gt;=$B11),"",IF($G11&gt;0,ROUNDUP(($B11-$C11)/$G11,0),"—"))</f>
        <v/>
      </c>
      <c r="I11" s="36">
        <f>IF(OR($B11="",$C11&gt;=$B11,$G11&lt;=0),"",EDATE(TODAY(),ROUNDUP(($B11-$C11)/$G11,0)))</f>
        <v/>
      </c>
      <c r="J11" s="34">
        <f>IF($B11="","",IF($C11&gt;=$B11,"🎉 Atingida!",IF($F11&gt;=0.7,"🔥 Quase lá",IF($F11&gt;=0.3,"💪 Em progresso","🚀 Começando"))))</f>
        <v/>
      </c>
      <c r="K11" s="1" t="n"/>
      <c r="L11" s="1" t="n"/>
    </row>
    <row r="12">
      <c r="A12" s="19" t="n"/>
      <c r="B12" s="20" t="n"/>
      <c r="C12" s="20" t="n"/>
      <c r="D12" s="25">
        <f>IF($B12="","",MAX($B12-$C12,0))</f>
        <v/>
      </c>
      <c r="E12" s="32">
        <f>IF($B12="","",REPT("█",MIN(10,ROUND($F12*10,0)))&amp;REPT("░",10-MIN(10,ROUND($F12*10,0))))</f>
        <v/>
      </c>
      <c r="F12" s="35">
        <f>IF($B12="","",MIN($C12/$B12,1))</f>
        <v/>
      </c>
      <c r="G12" s="20" t="n"/>
      <c r="H12" s="34">
        <f>IF(OR($B12="",$C12&gt;=$B12),"",IF($G12&gt;0,ROUNDUP(($B12-$C12)/$G12,0),"—"))</f>
        <v/>
      </c>
      <c r="I12" s="36">
        <f>IF(OR($B12="",$C12&gt;=$B12,$G12&lt;=0),"",EDATE(TODAY(),ROUNDUP(($B12-$C12)/$G12,0)))</f>
        <v/>
      </c>
      <c r="J12" s="34">
        <f>IF($B12="","",IF($C12&gt;=$B12,"🎉 Atingida!",IF($F12&gt;=0.7,"🔥 Quase lá",IF($F12&gt;=0.3,"💪 Em progresso","🚀 Começando"))))</f>
        <v/>
      </c>
      <c r="K12" s="1" t="n"/>
      <c r="L12" s="1" t="n"/>
    </row>
    <row r="13">
      <c r="A13" s="19" t="n"/>
      <c r="B13" s="20" t="n"/>
      <c r="C13" s="20" t="n"/>
      <c r="D13" s="25">
        <f>IF($B13="","",MAX($B13-$C13,0))</f>
        <v/>
      </c>
      <c r="E13" s="32">
        <f>IF($B13="","",REPT("█",MIN(10,ROUND($F13*10,0)))&amp;REPT("░",10-MIN(10,ROUND($F13*10,0))))</f>
        <v/>
      </c>
      <c r="F13" s="35">
        <f>IF($B13="","",MIN($C13/$B13,1))</f>
        <v/>
      </c>
      <c r="G13" s="20" t="n"/>
      <c r="H13" s="34">
        <f>IF(OR($B13="",$C13&gt;=$B13),"",IF($G13&gt;0,ROUNDUP(($B13-$C13)/$G13,0),"—"))</f>
        <v/>
      </c>
      <c r="I13" s="36">
        <f>IF(OR($B13="",$C13&gt;=$B13,$G13&lt;=0),"",EDATE(TODAY(),ROUNDUP(($B13-$C13)/$G13,0)))</f>
        <v/>
      </c>
      <c r="J13" s="34">
        <f>IF($B13="","",IF($C13&gt;=$B13,"🎉 Atingida!",IF($F13&gt;=0.7,"🔥 Quase lá",IF($F13&gt;=0.3,"💪 Em progresso","🚀 Começando"))))</f>
        <v/>
      </c>
      <c r="K13" s="1" t="n"/>
      <c r="L13" s="1" t="n"/>
    </row>
    <row r="14">
      <c r="A14" s="19" t="n"/>
      <c r="B14" s="20" t="n"/>
      <c r="C14" s="20" t="n"/>
      <c r="D14" s="25">
        <f>IF($B14="","",MAX($B14-$C14,0))</f>
        <v/>
      </c>
      <c r="E14" s="32">
        <f>IF($B14="","",REPT("█",MIN(10,ROUND($F14*10,0)))&amp;REPT("░",10-MIN(10,ROUND($F14*10,0))))</f>
        <v/>
      </c>
      <c r="F14" s="35">
        <f>IF($B14="","",MIN($C14/$B14,1))</f>
        <v/>
      </c>
      <c r="G14" s="20" t="n"/>
      <c r="H14" s="34">
        <f>IF(OR($B14="",$C14&gt;=$B14),"",IF($G14&gt;0,ROUNDUP(($B14-$C14)/$G14,0),"—"))</f>
        <v/>
      </c>
      <c r="I14" s="36">
        <f>IF(OR($B14="",$C14&gt;=$B14,$G14&lt;=0),"",EDATE(TODAY(),ROUNDUP(($B14-$C14)/$G14,0)))</f>
        <v/>
      </c>
      <c r="J14" s="34">
        <f>IF($B14="","",IF($C14&gt;=$B14,"🎉 Atingida!",IF($F14&gt;=0.7,"🔥 Quase lá",IF($F14&gt;=0.3,"💪 Em progresso","🚀 Começando"))))</f>
        <v/>
      </c>
      <c r="K14" s="1" t="n"/>
      <c r="L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conditionalFormatting sqref="J7:J14">
    <cfRule type="expression" priority="1" dxfId="10">
      <formula>AND($B7&lt;&gt;"",$C7&gt;=$B7)</formula>
    </cfRule>
  </conditionalFormatting>
  <hyperlinks>
    <hyperlink ref="B1" location="'📊 Dashboard'!A1" tooltip="Ir para 📊 Dashboard"/>
    <hyperlink ref="C1" location="'💰 Receitas'!A1" tooltip="Ir para 💰 Receitas"/>
    <hyperlink ref="D1" location="'💸 Despesas'!A1" tooltip="Ir para 💸 Despesas"/>
    <hyperlink ref="E1" location="'🏦 Contas'!A1" tooltip="Ir para 🏦 Contas"/>
    <hyperlink ref="F1" location="'💳 Cartões'!A1" tooltip="Ir para 💳 Cartões"/>
    <hyperlink ref="G1" location="'🎯 Metas'!A1" tooltip="Ir para 🎯 Metas"/>
    <hyperlink ref="H1" location="'📅 Planejamento'!A1" tooltip="Ir para 📅 Planejamento"/>
    <hyperlink ref="I1" location="'📈 Relatórios'!A1" tooltip="Ir para 📈 Relatórios"/>
    <hyperlink ref="J1" location="'🔔 Alertas'!A1" tooltip="Ir para 🔔 Alertas"/>
    <hyperlink ref="K1" location="'⚙️ Config'!A1" tooltip="Ir para ⚙️ Config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B5E20"/>
    <outlinePr summaryBelow="1" summaryRight="1"/>
    <pageSetUpPr/>
  </sheetPr>
  <dimension ref="A1:K2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0" customWidth="1" min="5" max="5"/>
    <col width="15" customWidth="1" min="6" max="6"/>
    <col width="15" customWidth="1" min="7" max="7"/>
  </cols>
  <sheetData>
    <row r="1" ht="24" customHeight="1">
      <c r="A1" s="1" t="n"/>
      <c r="B1" s="3" t="inlineStr">
        <is>
          <t>📊 Início</t>
        </is>
      </c>
      <c r="C1" s="3" t="inlineStr">
        <is>
          <t>💰 Receitas</t>
        </is>
      </c>
      <c r="D1" s="3" t="inlineStr">
        <is>
          <t>💸 Despesas</t>
        </is>
      </c>
      <c r="E1" s="3" t="inlineStr">
        <is>
          <t>🏦 Contas</t>
        </is>
      </c>
      <c r="F1" s="3" t="inlineStr">
        <is>
          <t>💳 Cartões</t>
        </is>
      </c>
      <c r="G1" s="3" t="inlineStr">
        <is>
          <t>🎯 Metas</t>
        </is>
      </c>
      <c r="H1" s="2" t="inlineStr">
        <is>
          <t>📅 Orçamento</t>
        </is>
      </c>
      <c r="I1" s="3" t="inlineStr">
        <is>
          <t>📈 Relatórios</t>
        </is>
      </c>
      <c r="J1" s="3" t="inlineStr">
        <is>
          <t>🔔 Alertas</t>
        </is>
      </c>
      <c r="K1" s="3" t="inlineStr">
        <is>
          <t>⚙️ Config</t>
        </is>
      </c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1" t="n"/>
      <c r="B3" s="4" t="inlineStr">
        <is>
          <t>📅 Planejamento Mensal</t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>
      <c r="A4" s="1" t="n"/>
      <c r="B4" s="7">
        <f>"Orçamento de "&amp;INDEX('⚙️ Config'!$H$7:$H$18,'📊 Dashboard'!$J$3)&amp;" de "&amp;'📊 Dashboard'!$L$3&amp;" — mude o mês no 📊 Dashboard"</f>
        <v/>
      </c>
      <c r="C4" s="1" t="n"/>
      <c r="D4" s="1" t="n"/>
      <c r="E4" s="1" t="n"/>
      <c r="F4" s="1" t="n"/>
      <c r="G4" s="1" t="n"/>
      <c r="H4" s="1" t="n"/>
      <c r="I4" s="1" t="n"/>
      <c r="J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6">
      <c r="A6" s="17" t="inlineStr">
        <is>
          <t>Categoria</t>
        </is>
      </c>
      <c r="B6" s="17" t="inlineStr">
        <is>
          <t>Orçamento</t>
        </is>
      </c>
      <c r="C6" s="17" t="inlineStr">
        <is>
          <t>Valor Gasto</t>
        </is>
      </c>
      <c r="D6" s="17" t="inlineStr">
        <is>
          <t>Diferença</t>
        </is>
      </c>
      <c r="E6" s="17" t="inlineStr">
        <is>
          <t>% Usado</t>
        </is>
      </c>
      <c r="F6" s="17" t="inlineStr">
        <is>
          <t>Consumo</t>
        </is>
      </c>
      <c r="G6" s="17" t="inlineStr">
        <is>
          <t>Situação</t>
        </is>
      </c>
      <c r="H6" s="1" t="n"/>
      <c r="I6" s="1" t="n"/>
      <c r="J6" s="1" t="n"/>
    </row>
    <row r="7">
      <c r="A7" s="37" t="inlineStr">
        <is>
          <t>Moradia</t>
        </is>
      </c>
      <c r="B7" s="20" t="n">
        <v>1900</v>
      </c>
      <c r="C7" s="25">
        <f>SUMIFS('💸 Despesas'!$D:$D,'💸 Despesas'!$C:$C,$A7,'💸 Despesas'!$A:$A,"&gt;="&amp;DATE('📊 Dashboard'!$L$3,'📊 Dashboard'!$J$3,1),'💸 Despesas'!$A:$A,"&lt;="&amp;EOMONTH(DATE('📊 Dashboard'!$L$3,'📊 Dashboard'!$J$3,1),0))</f>
        <v/>
      </c>
      <c r="D7" s="25">
        <f>$B7-$C7</f>
        <v/>
      </c>
      <c r="E7" s="35">
        <f>IFERROR($C7/$B7,0)</f>
        <v/>
      </c>
      <c r="F7" s="32">
        <f>REPT("█",MIN(10,ROUND($E7*10,0)))&amp;REPT("░",10-MIN(10,ROUND($E7*10,0)))</f>
        <v/>
      </c>
      <c r="G7" s="34">
        <f>IF($C7&gt;$B7,"🔴 Estourou",IF($E7&gt;=0.8,"🟡 Atenção","🟢 Dentro"))</f>
        <v/>
      </c>
      <c r="H7" s="1" t="n"/>
      <c r="I7" s="1" t="n"/>
      <c r="J7" s="1" t="n"/>
    </row>
    <row r="8">
      <c r="A8" s="37" t="inlineStr">
        <is>
          <t>Alimentação</t>
        </is>
      </c>
      <c r="B8" s="20" t="n">
        <v>900</v>
      </c>
      <c r="C8" s="25">
        <f>SUMIFS('💸 Despesas'!$D:$D,'💸 Despesas'!$C:$C,$A8,'💸 Despesas'!$A:$A,"&gt;="&amp;DATE('📊 Dashboard'!$L$3,'📊 Dashboard'!$J$3,1),'💸 Despesas'!$A:$A,"&lt;="&amp;EOMONTH(DATE('📊 Dashboard'!$L$3,'📊 Dashboard'!$J$3,1),0))</f>
        <v/>
      </c>
      <c r="D8" s="25">
        <f>$B8-$C8</f>
        <v/>
      </c>
      <c r="E8" s="35">
        <f>IFERROR($C8/$B8,0)</f>
        <v/>
      </c>
      <c r="F8" s="32">
        <f>REPT("█",MIN(10,ROUND($E8*10,0)))&amp;REPT("░",10-MIN(10,ROUND($E8*10,0)))</f>
        <v/>
      </c>
      <c r="G8" s="34">
        <f>IF($C8&gt;$B8,"🔴 Estourou",IF($E8&gt;=0.8,"🟡 Atenção","🟢 Dentro"))</f>
        <v/>
      </c>
      <c r="H8" s="1" t="n"/>
      <c r="I8" s="1" t="n"/>
      <c r="J8" s="1" t="n"/>
    </row>
    <row r="9">
      <c r="A9" s="37" t="inlineStr">
        <is>
          <t>Transporte</t>
        </is>
      </c>
      <c r="B9" s="20" t="n">
        <v>350</v>
      </c>
      <c r="C9" s="25">
        <f>SUMIFS('💸 Despesas'!$D:$D,'💸 Despesas'!$C:$C,$A9,'💸 Despesas'!$A:$A,"&gt;="&amp;DATE('📊 Dashboard'!$L$3,'📊 Dashboard'!$J$3,1),'💸 Despesas'!$A:$A,"&lt;="&amp;EOMONTH(DATE('📊 Dashboard'!$L$3,'📊 Dashboard'!$J$3,1),0))</f>
        <v/>
      </c>
      <c r="D9" s="25">
        <f>$B9-$C9</f>
        <v/>
      </c>
      <c r="E9" s="35">
        <f>IFERROR($C9/$B9,0)</f>
        <v/>
      </c>
      <c r="F9" s="32">
        <f>REPT("█",MIN(10,ROUND($E9*10,0)))&amp;REPT("░",10-MIN(10,ROUND($E9*10,0)))</f>
        <v/>
      </c>
      <c r="G9" s="34">
        <f>IF($C9&gt;$B9,"🔴 Estourou",IF($E9&gt;=0.8,"🟡 Atenção","🟢 Dentro"))</f>
        <v/>
      </c>
      <c r="H9" s="1" t="n"/>
      <c r="I9" s="1" t="n"/>
      <c r="J9" s="1" t="n"/>
    </row>
    <row r="10">
      <c r="A10" s="37" t="inlineStr">
        <is>
          <t>Saúde</t>
        </is>
      </c>
      <c r="B10" s="20" t="n">
        <v>250</v>
      </c>
      <c r="C10" s="25">
        <f>SUMIFS('💸 Despesas'!$D:$D,'💸 Despesas'!$C:$C,$A10,'💸 Despesas'!$A:$A,"&gt;="&amp;DATE('📊 Dashboard'!$L$3,'📊 Dashboard'!$J$3,1),'💸 Despesas'!$A:$A,"&lt;="&amp;EOMONTH(DATE('📊 Dashboard'!$L$3,'📊 Dashboard'!$J$3,1),0))</f>
        <v/>
      </c>
      <c r="D10" s="25">
        <f>$B10-$C10</f>
        <v/>
      </c>
      <c r="E10" s="35">
        <f>IFERROR($C10/$B10,0)</f>
        <v/>
      </c>
      <c r="F10" s="32">
        <f>REPT("█",MIN(10,ROUND($E10*10,0)))&amp;REPT("░",10-MIN(10,ROUND($E10*10,0)))</f>
        <v/>
      </c>
      <c r="G10" s="34">
        <f>IF($C10&gt;$B10,"🔴 Estourou",IF($E10&gt;=0.8,"🟡 Atenção","🟢 Dentro"))</f>
        <v/>
      </c>
      <c r="H10" s="1" t="n"/>
      <c r="I10" s="1" t="n"/>
      <c r="J10" s="1" t="n"/>
    </row>
    <row r="11">
      <c r="A11" s="37" t="inlineStr">
        <is>
          <t>Educação</t>
        </is>
      </c>
      <c r="B11" s="20" t="n">
        <v>150</v>
      </c>
      <c r="C11" s="25">
        <f>SUMIFS('💸 Despesas'!$D:$D,'💸 Despesas'!$C:$C,$A11,'💸 Despesas'!$A:$A,"&gt;="&amp;DATE('📊 Dashboard'!$L$3,'📊 Dashboard'!$J$3,1),'💸 Despesas'!$A:$A,"&lt;="&amp;EOMONTH(DATE('📊 Dashboard'!$L$3,'📊 Dashboard'!$J$3,1),0))</f>
        <v/>
      </c>
      <c r="D11" s="25">
        <f>$B11-$C11</f>
        <v/>
      </c>
      <c r="E11" s="35">
        <f>IFERROR($C11/$B11,0)</f>
        <v/>
      </c>
      <c r="F11" s="32">
        <f>REPT("█",MIN(10,ROUND($E11*10,0)))&amp;REPT("░",10-MIN(10,ROUND($E11*10,0)))</f>
        <v/>
      </c>
      <c r="G11" s="34">
        <f>IF($C11&gt;$B11,"🔴 Estourou",IF($E11&gt;=0.8,"🟡 Atenção","🟢 Dentro"))</f>
        <v/>
      </c>
      <c r="H11" s="1" t="n"/>
      <c r="I11" s="1" t="n"/>
      <c r="J11" s="1" t="n"/>
    </row>
    <row r="12">
      <c r="A12" s="37" t="inlineStr">
        <is>
          <t>Lazer</t>
        </is>
      </c>
      <c r="B12" s="20" t="n">
        <v>250</v>
      </c>
      <c r="C12" s="25">
        <f>SUMIFS('💸 Despesas'!$D:$D,'💸 Despesas'!$C:$C,$A12,'💸 Despesas'!$A:$A,"&gt;="&amp;DATE('📊 Dashboard'!$L$3,'📊 Dashboard'!$J$3,1),'💸 Despesas'!$A:$A,"&lt;="&amp;EOMONTH(DATE('📊 Dashboard'!$L$3,'📊 Dashboard'!$J$3,1),0))</f>
        <v/>
      </c>
      <c r="D12" s="25">
        <f>$B12-$C12</f>
        <v/>
      </c>
      <c r="E12" s="35">
        <f>IFERROR($C12/$B12,0)</f>
        <v/>
      </c>
      <c r="F12" s="32">
        <f>REPT("█",MIN(10,ROUND($E12*10,0)))&amp;REPT("░",10-MIN(10,ROUND($E12*10,0)))</f>
        <v/>
      </c>
      <c r="G12" s="34">
        <f>IF($C12&gt;$B12,"🔴 Estourou",IF($E12&gt;=0.8,"🟡 Atenção","🟢 Dentro"))</f>
        <v/>
      </c>
      <c r="H12" s="1" t="n"/>
      <c r="I12" s="1" t="n"/>
      <c r="J12" s="1" t="n"/>
    </row>
    <row r="13">
      <c r="A13" s="37" t="inlineStr">
        <is>
          <t>Vestuário</t>
        </is>
      </c>
      <c r="B13" s="20" t="n">
        <v>150</v>
      </c>
      <c r="C13" s="25">
        <f>SUMIFS('💸 Despesas'!$D:$D,'💸 Despesas'!$C:$C,$A13,'💸 Despesas'!$A:$A,"&gt;="&amp;DATE('📊 Dashboard'!$L$3,'📊 Dashboard'!$J$3,1),'💸 Despesas'!$A:$A,"&lt;="&amp;EOMONTH(DATE('📊 Dashboard'!$L$3,'📊 Dashboard'!$J$3,1),0))</f>
        <v/>
      </c>
      <c r="D13" s="25">
        <f>$B13-$C13</f>
        <v/>
      </c>
      <c r="E13" s="35">
        <f>IFERROR($C13/$B13,0)</f>
        <v/>
      </c>
      <c r="F13" s="32">
        <f>REPT("█",MIN(10,ROUND($E13*10,0)))&amp;REPT("░",10-MIN(10,ROUND($E13*10,0)))</f>
        <v/>
      </c>
      <c r="G13" s="34">
        <f>IF($C13&gt;$B13,"🔴 Estourou",IF($E13&gt;=0.8,"🟡 Atenção","🟢 Dentro"))</f>
        <v/>
      </c>
      <c r="H13" s="1" t="n"/>
      <c r="I13" s="1" t="n"/>
      <c r="J13" s="1" t="n"/>
    </row>
    <row r="14">
      <c r="A14" s="37" t="inlineStr">
        <is>
          <t>Assinaturas</t>
        </is>
      </c>
      <c r="B14" s="20" t="n">
        <v>120</v>
      </c>
      <c r="C14" s="25">
        <f>SUMIFS('💸 Despesas'!$D:$D,'💸 Despesas'!$C:$C,$A14,'💸 Despesas'!$A:$A,"&gt;="&amp;DATE('📊 Dashboard'!$L$3,'📊 Dashboard'!$J$3,1),'💸 Despesas'!$A:$A,"&lt;="&amp;EOMONTH(DATE('📊 Dashboard'!$L$3,'📊 Dashboard'!$J$3,1),0))</f>
        <v/>
      </c>
      <c r="D14" s="25">
        <f>$B14-$C14</f>
        <v/>
      </c>
      <c r="E14" s="35">
        <f>IFERROR($C14/$B14,0)</f>
        <v/>
      </c>
      <c r="F14" s="32">
        <f>REPT("█",MIN(10,ROUND($E14*10,0)))&amp;REPT("░",10-MIN(10,ROUND($E14*10,0)))</f>
        <v/>
      </c>
      <c r="G14" s="34">
        <f>IF($C14&gt;$B14,"🔴 Estourou",IF($E14&gt;=0.8,"🟡 Atenção","🟢 Dentro"))</f>
        <v/>
      </c>
      <c r="H14" s="1" t="n"/>
      <c r="I14" s="1" t="n"/>
      <c r="J14" s="1" t="n"/>
    </row>
    <row r="15">
      <c r="A15" s="37" t="inlineStr">
        <is>
          <t>Contas Fixas</t>
        </is>
      </c>
      <c r="B15" s="20" t="n">
        <v>400</v>
      </c>
      <c r="C15" s="25">
        <f>SUMIFS('💸 Despesas'!$D:$D,'💸 Despesas'!$C:$C,$A15,'💸 Despesas'!$A:$A,"&gt;="&amp;DATE('📊 Dashboard'!$L$3,'📊 Dashboard'!$J$3,1),'💸 Despesas'!$A:$A,"&lt;="&amp;EOMONTH(DATE('📊 Dashboard'!$L$3,'📊 Dashboard'!$J$3,1),0))</f>
        <v/>
      </c>
      <c r="D15" s="25">
        <f>$B15-$C15</f>
        <v/>
      </c>
      <c r="E15" s="35">
        <f>IFERROR($C15/$B15,0)</f>
        <v/>
      </c>
      <c r="F15" s="32">
        <f>REPT("█",MIN(10,ROUND($E15*10,0)))&amp;REPT("░",10-MIN(10,ROUND($E15*10,0)))</f>
        <v/>
      </c>
      <c r="G15" s="34">
        <f>IF($C15&gt;$B15,"🔴 Estourou",IF($E15&gt;=0.8,"🟡 Atenção","🟢 Dentro"))</f>
        <v/>
      </c>
      <c r="H15" s="1" t="n"/>
      <c r="I15" s="1" t="n"/>
      <c r="J15" s="1" t="n"/>
    </row>
    <row r="16">
      <c r="A16" s="37" t="inlineStr">
        <is>
          <t>Investimentos</t>
        </is>
      </c>
      <c r="B16" s="20" t="n">
        <v>600</v>
      </c>
      <c r="C16" s="25">
        <f>SUMIFS('💸 Despesas'!$D:$D,'💸 Despesas'!$C:$C,$A16,'💸 Despesas'!$A:$A,"&gt;="&amp;DATE('📊 Dashboard'!$L$3,'📊 Dashboard'!$J$3,1),'💸 Despesas'!$A:$A,"&lt;="&amp;EOMONTH(DATE('📊 Dashboard'!$L$3,'📊 Dashboard'!$J$3,1),0))</f>
        <v/>
      </c>
      <c r="D16" s="25">
        <f>$B16-$C16</f>
        <v/>
      </c>
      <c r="E16" s="35">
        <f>IFERROR($C16/$B16,0)</f>
        <v/>
      </c>
      <c r="F16" s="32">
        <f>REPT("█",MIN(10,ROUND($E16*10,0)))&amp;REPT("░",10-MIN(10,ROUND($E16*10,0)))</f>
        <v/>
      </c>
      <c r="G16" s="34">
        <f>IF($C16&gt;$B16,"🔴 Estourou",IF($E16&gt;=0.8,"🟡 Atenção","🟢 Dentro"))</f>
        <v/>
      </c>
      <c r="H16" s="1" t="n"/>
      <c r="I16" s="1" t="n"/>
      <c r="J16" s="1" t="n"/>
    </row>
    <row r="17">
      <c r="A17" s="37" t="inlineStr">
        <is>
          <t>Outros</t>
        </is>
      </c>
      <c r="B17" s="20" t="n">
        <v>700</v>
      </c>
      <c r="C17" s="25">
        <f>SUMIFS('💸 Despesas'!$D:$D,'💸 Despesas'!$C:$C,$A17,'💸 Despesas'!$A:$A,"&gt;="&amp;DATE('📊 Dashboard'!$L$3,'📊 Dashboard'!$J$3,1),'💸 Despesas'!$A:$A,"&lt;="&amp;EOMONTH(DATE('📊 Dashboard'!$L$3,'📊 Dashboard'!$J$3,1),0))</f>
        <v/>
      </c>
      <c r="D17" s="25">
        <f>$B17-$C17</f>
        <v/>
      </c>
      <c r="E17" s="35">
        <f>IFERROR($C17/$B17,0)</f>
        <v/>
      </c>
      <c r="F17" s="32">
        <f>REPT("█",MIN(10,ROUND($E17*10,0)))&amp;REPT("░",10-MIN(10,ROUND($E17*10,0)))</f>
        <v/>
      </c>
      <c r="G17" s="34">
        <f>IF($C17&gt;$B17,"🔴 Estourou",IF($E17&gt;=0.8,"🟡 Atenção","🟢 Dentro"))</f>
        <v/>
      </c>
      <c r="H17" s="1" t="n"/>
      <c r="I17" s="1" t="n"/>
      <c r="J17" s="1" t="n"/>
    </row>
    <row r="18">
      <c r="A18" s="27" t="inlineStr">
        <is>
          <t>TOTAL</t>
        </is>
      </c>
      <c r="B18" s="28">
        <f>SUM(B7:B17)</f>
        <v/>
      </c>
      <c r="C18" s="28">
        <f>SUM(C7:C17)</f>
        <v/>
      </c>
      <c r="D18" s="28">
        <f>SUM(D7:D17)</f>
        <v/>
      </c>
      <c r="E18" s="38">
        <f>IFERROR($C18/$B18,0)</f>
        <v/>
      </c>
      <c r="F18" s="1" t="n"/>
      <c r="G18" s="1" t="n"/>
      <c r="H18" s="1" t="n"/>
      <c r="I18" s="1" t="n"/>
      <c r="J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conditionalFormatting sqref="G7:G17">
    <cfRule type="expression" priority="1" dxfId="8">
      <formula>$C7&gt;$B7</formula>
    </cfRule>
    <cfRule type="expression" priority="2" dxfId="9">
      <formula>$E7&gt;=0.8</formula>
    </cfRule>
    <cfRule type="expression" priority="3" dxfId="10">
      <formula>$E7&lt;0.8</formula>
    </cfRule>
  </conditionalFormatting>
  <hyperlinks>
    <hyperlink ref="B1" location="'📊 Dashboard'!A1" tooltip="Ir para 📊 Dashboard"/>
    <hyperlink ref="C1" location="'💰 Receitas'!A1" tooltip="Ir para 💰 Receitas"/>
    <hyperlink ref="D1" location="'💸 Despesas'!A1" tooltip="Ir para 💸 Despesas"/>
    <hyperlink ref="E1" location="'🏦 Contas'!A1" tooltip="Ir para 🏦 Contas"/>
    <hyperlink ref="F1" location="'💳 Cartões'!A1" tooltip="Ir para 💳 Cartões"/>
    <hyperlink ref="G1" location="'🎯 Metas'!A1" tooltip="Ir para 🎯 Metas"/>
    <hyperlink ref="H1" location="'📅 Planejamento'!A1" tooltip="Ir para 📅 Planejamento"/>
    <hyperlink ref="I1" location="'📈 Relatórios'!A1" tooltip="Ir para 📈 Relatórios"/>
    <hyperlink ref="J1" location="'🔔 Alertas'!A1" tooltip="Ir para 🔔 Alertas"/>
    <hyperlink ref="K1" location="'⚙️ Config'!A1" tooltip="Ir para ⚙️ Config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B5E20"/>
    <outlinePr summaryBelow="1" summaryRight="1"/>
    <pageSetUpPr/>
  </sheetPr>
  <dimension ref="A1:N60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5" customWidth="1" min="5" max="5"/>
    <col width="3" customWidth="1" min="6" max="6"/>
    <col width="18" customWidth="1" min="7" max="7"/>
    <col width="13" customWidth="1" min="8" max="8"/>
    <col width="9" customWidth="1" min="9" max="9"/>
    <col width="3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4" customHeight="1">
      <c r="A1" s="1" t="n"/>
      <c r="B1" s="3" t="inlineStr">
        <is>
          <t>📊 Início</t>
        </is>
      </c>
      <c r="C1" s="3" t="inlineStr">
        <is>
          <t>💰 Receitas</t>
        </is>
      </c>
      <c r="D1" s="3" t="inlineStr">
        <is>
          <t>💸 Despesas</t>
        </is>
      </c>
      <c r="E1" s="3" t="inlineStr">
        <is>
          <t>🏦 Contas</t>
        </is>
      </c>
      <c r="F1" s="3" t="inlineStr">
        <is>
          <t>💳 Cartões</t>
        </is>
      </c>
      <c r="G1" s="3" t="inlineStr">
        <is>
          <t>🎯 Metas</t>
        </is>
      </c>
      <c r="H1" s="3" t="inlineStr">
        <is>
          <t>📅 Orçamento</t>
        </is>
      </c>
      <c r="I1" s="2" t="inlineStr">
        <is>
          <t>📈 Relatórios</t>
        </is>
      </c>
      <c r="J1" s="3" t="inlineStr">
        <is>
          <t>🔔 Alertas</t>
        </is>
      </c>
      <c r="K1" s="3" t="inlineStr">
        <is>
          <t>⚙️ Config</t>
        </is>
      </c>
      <c r="L1" s="1" t="n"/>
      <c r="M1" s="1" t="n"/>
      <c r="N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1" t="n"/>
      <c r="B3" s="4" t="inlineStr">
        <is>
          <t>📈 Relatórios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1" t="n"/>
      <c r="B4" s="7">
        <f>"Ano de referência: "&amp;'📊 Dashboard'!$L$3&amp;" (definido no 📊 Dashboard)"</f>
        <v/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29" t="inlineStr">
        <is>
          <t>Resumo mensal</t>
        </is>
      </c>
      <c r="B6" s="1" t="n"/>
      <c r="C6" s="1" t="n"/>
      <c r="D6" s="1" t="n"/>
      <c r="E6" s="1" t="n"/>
      <c r="F6" s="1" t="n"/>
      <c r="G6" s="29" t="inlineStr">
        <is>
          <t>Gastos por categoria (mês selecionado)</t>
        </is>
      </c>
      <c r="H6" s="1" t="n"/>
      <c r="I6" s="1" t="n"/>
      <c r="J6" s="1" t="n"/>
      <c r="K6" s="1" t="n"/>
      <c r="L6" s="1" t="n"/>
      <c r="M6" s="1" t="n"/>
      <c r="N6" s="1" t="n"/>
    </row>
    <row r="7">
      <c r="A7" s="17" t="inlineStr">
        <is>
          <t>Mês</t>
        </is>
      </c>
      <c r="B7" s="17" t="inlineStr">
        <is>
          <t>Receitas</t>
        </is>
      </c>
      <c r="C7" s="17" t="inlineStr">
        <is>
          <t>Despesas</t>
        </is>
      </c>
      <c r="D7" s="17" t="inlineStr">
        <is>
          <t>Saldo</t>
        </is>
      </c>
      <c r="E7" s="17" t="inlineStr">
        <is>
          <t>Patrimônio</t>
        </is>
      </c>
      <c r="F7" s="1" t="n"/>
      <c r="G7" s="17" t="inlineStr">
        <is>
          <t>Categoria</t>
        </is>
      </c>
      <c r="H7" s="17" t="inlineStr">
        <is>
          <t>Valor</t>
        </is>
      </c>
      <c r="I7" s="17" t="inlineStr">
        <is>
          <t>%</t>
        </is>
      </c>
      <c r="J7" s="1" t="n"/>
      <c r="K7" s="1" t="n"/>
      <c r="L7" s="1" t="n"/>
      <c r="M7" s="1" t="n"/>
      <c r="N7" s="1" t="n"/>
    </row>
    <row r="8">
      <c r="A8" s="39" t="inlineStr">
        <is>
          <t>Jan</t>
        </is>
      </c>
      <c r="B8" s="23">
        <f>SUMIFS('💰 Receitas'!$D:$D,'💰 Receitas'!$A:$A,"&gt;="&amp;DATE('📊 Dashboard'!$L$3,1,1),'💰 Receitas'!$A:$A,"&lt;="&amp;EOMONTH(DATE('📊 Dashboard'!$L$3,1,1),0))</f>
        <v/>
      </c>
      <c r="C8" s="25">
        <f>SUMIFS('💸 Despesas'!$D:$D,'💸 Despesas'!$A:$A,"&gt;="&amp;DATE('📊 Dashboard'!$L$3,1,1),'💸 Despesas'!$A:$A,"&lt;="&amp;EOMONTH(DATE('📊 Dashboard'!$L$3,1,1),0))</f>
        <v/>
      </c>
      <c r="D8" s="25">
        <f>$B8-$C8</f>
        <v/>
      </c>
      <c r="E8" s="26">
        <f>'🏦 Contas'!$B$15+$D8</f>
        <v/>
      </c>
      <c r="F8" s="1" t="n"/>
      <c r="G8" s="37" t="inlineStr">
        <is>
          <t>Moradia</t>
        </is>
      </c>
      <c r="H8" s="25">
        <f>SUMIFS('💸 Despesas'!$D:$D,'💸 Despesas'!$C:$C,$G8,'💸 Despesas'!$A:$A,"&gt;="&amp;DATE('📊 Dashboard'!$L$3,'📊 Dashboard'!$J$3,1),'💸 Despesas'!$A:$A,"&lt;="&amp;EOMONTH(DATE('📊 Dashboard'!$L$3,'📊 Dashboard'!$J$3,1),0))</f>
        <v/>
      </c>
      <c r="I8" s="35">
        <f>IFERROR($H8/SUM($H$8:$H$18),0)</f>
        <v/>
      </c>
      <c r="J8" s="1" t="n"/>
      <c r="K8" s="1" t="n"/>
      <c r="L8" s="1" t="n"/>
      <c r="M8" s="1" t="n"/>
      <c r="N8" s="1" t="n"/>
    </row>
    <row r="9">
      <c r="A9" s="39" t="inlineStr">
        <is>
          <t>Fev</t>
        </is>
      </c>
      <c r="B9" s="23">
        <f>SUMIFS('💰 Receitas'!$D:$D,'💰 Receitas'!$A:$A,"&gt;="&amp;DATE('📊 Dashboard'!$L$3,2,1),'💰 Receitas'!$A:$A,"&lt;="&amp;EOMONTH(DATE('📊 Dashboard'!$L$3,2,1),0))</f>
        <v/>
      </c>
      <c r="C9" s="25">
        <f>SUMIFS('💸 Despesas'!$D:$D,'💸 Despesas'!$A:$A,"&gt;="&amp;DATE('📊 Dashboard'!$L$3,2,1),'💸 Despesas'!$A:$A,"&lt;="&amp;EOMONTH(DATE('📊 Dashboard'!$L$3,2,1),0))</f>
        <v/>
      </c>
      <c r="D9" s="25">
        <f>$B9-$C9</f>
        <v/>
      </c>
      <c r="E9" s="26">
        <f>$E8+$D9</f>
        <v/>
      </c>
      <c r="F9" s="1" t="n"/>
      <c r="G9" s="37" t="inlineStr">
        <is>
          <t>Alimentação</t>
        </is>
      </c>
      <c r="H9" s="25">
        <f>SUMIFS('💸 Despesas'!$D:$D,'💸 Despesas'!$C:$C,$G9,'💸 Despesas'!$A:$A,"&gt;="&amp;DATE('📊 Dashboard'!$L$3,'📊 Dashboard'!$J$3,1),'💸 Despesas'!$A:$A,"&lt;="&amp;EOMONTH(DATE('📊 Dashboard'!$L$3,'📊 Dashboard'!$J$3,1),0))</f>
        <v/>
      </c>
      <c r="I9" s="35">
        <f>IFERROR($H9/SUM($H$8:$H$18),0)</f>
        <v/>
      </c>
      <c r="J9" s="1" t="n"/>
      <c r="K9" s="1" t="n"/>
      <c r="L9" s="1" t="n"/>
      <c r="M9" s="1" t="n"/>
      <c r="N9" s="1" t="n"/>
    </row>
    <row r="10">
      <c r="A10" s="39" t="inlineStr">
        <is>
          <t>Mar</t>
        </is>
      </c>
      <c r="B10" s="23">
        <f>SUMIFS('💰 Receitas'!$D:$D,'💰 Receitas'!$A:$A,"&gt;="&amp;DATE('📊 Dashboard'!$L$3,3,1),'💰 Receitas'!$A:$A,"&lt;="&amp;EOMONTH(DATE('📊 Dashboard'!$L$3,3,1),0))</f>
        <v/>
      </c>
      <c r="C10" s="25">
        <f>SUMIFS('💸 Despesas'!$D:$D,'💸 Despesas'!$A:$A,"&gt;="&amp;DATE('📊 Dashboard'!$L$3,3,1),'💸 Despesas'!$A:$A,"&lt;="&amp;EOMONTH(DATE('📊 Dashboard'!$L$3,3,1),0))</f>
        <v/>
      </c>
      <c r="D10" s="25">
        <f>$B10-$C10</f>
        <v/>
      </c>
      <c r="E10" s="26">
        <f>$E9+$D10</f>
        <v/>
      </c>
      <c r="F10" s="1" t="n"/>
      <c r="G10" s="37" t="inlineStr">
        <is>
          <t>Transporte</t>
        </is>
      </c>
      <c r="H10" s="25">
        <f>SUMIFS('💸 Despesas'!$D:$D,'💸 Despesas'!$C:$C,$G10,'💸 Despesas'!$A:$A,"&gt;="&amp;DATE('📊 Dashboard'!$L$3,'📊 Dashboard'!$J$3,1),'💸 Despesas'!$A:$A,"&lt;="&amp;EOMONTH(DATE('📊 Dashboard'!$L$3,'📊 Dashboard'!$J$3,1),0))</f>
        <v/>
      </c>
      <c r="I10" s="35">
        <f>IFERROR($H10/SUM($H$8:$H$18),0)</f>
        <v/>
      </c>
      <c r="J10" s="1" t="n"/>
      <c r="K10" s="1" t="n"/>
      <c r="L10" s="1" t="n"/>
      <c r="M10" s="1" t="n"/>
      <c r="N10" s="1" t="n"/>
    </row>
    <row r="11">
      <c r="A11" s="39" t="inlineStr">
        <is>
          <t>Abr</t>
        </is>
      </c>
      <c r="B11" s="23">
        <f>SUMIFS('💰 Receitas'!$D:$D,'💰 Receitas'!$A:$A,"&gt;="&amp;DATE('📊 Dashboard'!$L$3,4,1),'💰 Receitas'!$A:$A,"&lt;="&amp;EOMONTH(DATE('📊 Dashboard'!$L$3,4,1),0))</f>
        <v/>
      </c>
      <c r="C11" s="25">
        <f>SUMIFS('💸 Despesas'!$D:$D,'💸 Despesas'!$A:$A,"&gt;="&amp;DATE('📊 Dashboard'!$L$3,4,1),'💸 Despesas'!$A:$A,"&lt;="&amp;EOMONTH(DATE('📊 Dashboard'!$L$3,4,1),0))</f>
        <v/>
      </c>
      <c r="D11" s="25">
        <f>$B11-$C11</f>
        <v/>
      </c>
      <c r="E11" s="26">
        <f>$E10+$D11</f>
        <v/>
      </c>
      <c r="F11" s="1" t="n"/>
      <c r="G11" s="37" t="inlineStr">
        <is>
          <t>Saúde</t>
        </is>
      </c>
      <c r="H11" s="25">
        <f>SUMIFS('💸 Despesas'!$D:$D,'💸 Despesas'!$C:$C,$G11,'💸 Despesas'!$A:$A,"&gt;="&amp;DATE('📊 Dashboard'!$L$3,'📊 Dashboard'!$J$3,1),'💸 Despesas'!$A:$A,"&lt;="&amp;EOMONTH(DATE('📊 Dashboard'!$L$3,'📊 Dashboard'!$J$3,1),0))</f>
        <v/>
      </c>
      <c r="I11" s="35">
        <f>IFERROR($H11/SUM($H$8:$H$18),0)</f>
        <v/>
      </c>
      <c r="J11" s="1" t="n"/>
      <c r="K11" s="1" t="n"/>
      <c r="L11" s="1" t="n"/>
      <c r="M11" s="1" t="n"/>
      <c r="N11" s="1" t="n"/>
    </row>
    <row r="12">
      <c r="A12" s="39" t="inlineStr">
        <is>
          <t>Mai</t>
        </is>
      </c>
      <c r="B12" s="23">
        <f>SUMIFS('💰 Receitas'!$D:$D,'💰 Receitas'!$A:$A,"&gt;="&amp;DATE('📊 Dashboard'!$L$3,5,1),'💰 Receitas'!$A:$A,"&lt;="&amp;EOMONTH(DATE('📊 Dashboard'!$L$3,5,1),0))</f>
        <v/>
      </c>
      <c r="C12" s="25">
        <f>SUMIFS('💸 Despesas'!$D:$D,'💸 Despesas'!$A:$A,"&gt;="&amp;DATE('📊 Dashboard'!$L$3,5,1),'💸 Despesas'!$A:$A,"&lt;="&amp;EOMONTH(DATE('📊 Dashboard'!$L$3,5,1),0))</f>
        <v/>
      </c>
      <c r="D12" s="25">
        <f>$B12-$C12</f>
        <v/>
      </c>
      <c r="E12" s="26">
        <f>$E11+$D12</f>
        <v/>
      </c>
      <c r="F12" s="1" t="n"/>
      <c r="G12" s="37" t="inlineStr">
        <is>
          <t>Educação</t>
        </is>
      </c>
      <c r="H12" s="25">
        <f>SUMIFS('💸 Despesas'!$D:$D,'💸 Despesas'!$C:$C,$G12,'💸 Despesas'!$A:$A,"&gt;="&amp;DATE('📊 Dashboard'!$L$3,'📊 Dashboard'!$J$3,1),'💸 Despesas'!$A:$A,"&lt;="&amp;EOMONTH(DATE('📊 Dashboard'!$L$3,'📊 Dashboard'!$J$3,1),0))</f>
        <v/>
      </c>
      <c r="I12" s="35">
        <f>IFERROR($H12/SUM($H$8:$H$18),0)</f>
        <v/>
      </c>
      <c r="J12" s="1" t="n"/>
      <c r="K12" s="1" t="n"/>
      <c r="L12" s="1" t="n"/>
      <c r="M12" s="1" t="n"/>
      <c r="N12" s="1" t="n"/>
    </row>
    <row r="13">
      <c r="A13" s="39" t="inlineStr">
        <is>
          <t>Jun</t>
        </is>
      </c>
      <c r="B13" s="23">
        <f>SUMIFS('💰 Receitas'!$D:$D,'💰 Receitas'!$A:$A,"&gt;="&amp;DATE('📊 Dashboard'!$L$3,6,1),'💰 Receitas'!$A:$A,"&lt;="&amp;EOMONTH(DATE('📊 Dashboard'!$L$3,6,1),0))</f>
        <v/>
      </c>
      <c r="C13" s="25">
        <f>SUMIFS('💸 Despesas'!$D:$D,'💸 Despesas'!$A:$A,"&gt;="&amp;DATE('📊 Dashboard'!$L$3,6,1),'💸 Despesas'!$A:$A,"&lt;="&amp;EOMONTH(DATE('📊 Dashboard'!$L$3,6,1),0))</f>
        <v/>
      </c>
      <c r="D13" s="25">
        <f>$B13-$C13</f>
        <v/>
      </c>
      <c r="E13" s="26">
        <f>$E12+$D13</f>
        <v/>
      </c>
      <c r="F13" s="1" t="n"/>
      <c r="G13" s="37" t="inlineStr">
        <is>
          <t>Lazer</t>
        </is>
      </c>
      <c r="H13" s="25">
        <f>SUMIFS('💸 Despesas'!$D:$D,'💸 Despesas'!$C:$C,$G13,'💸 Despesas'!$A:$A,"&gt;="&amp;DATE('📊 Dashboard'!$L$3,'📊 Dashboard'!$J$3,1),'💸 Despesas'!$A:$A,"&lt;="&amp;EOMONTH(DATE('📊 Dashboard'!$L$3,'📊 Dashboard'!$J$3,1),0))</f>
        <v/>
      </c>
      <c r="I13" s="35">
        <f>IFERROR($H13/SUM($H$8:$H$18),0)</f>
        <v/>
      </c>
      <c r="J13" s="1" t="n"/>
      <c r="K13" s="1" t="n"/>
      <c r="L13" s="1" t="n"/>
      <c r="M13" s="1" t="n"/>
      <c r="N13" s="1" t="n"/>
    </row>
    <row r="14">
      <c r="A14" s="39" t="inlineStr">
        <is>
          <t>Jul</t>
        </is>
      </c>
      <c r="B14" s="23">
        <f>SUMIFS('💰 Receitas'!$D:$D,'💰 Receitas'!$A:$A,"&gt;="&amp;DATE('📊 Dashboard'!$L$3,7,1),'💰 Receitas'!$A:$A,"&lt;="&amp;EOMONTH(DATE('📊 Dashboard'!$L$3,7,1),0))</f>
        <v/>
      </c>
      <c r="C14" s="25">
        <f>SUMIFS('💸 Despesas'!$D:$D,'💸 Despesas'!$A:$A,"&gt;="&amp;DATE('📊 Dashboard'!$L$3,7,1),'💸 Despesas'!$A:$A,"&lt;="&amp;EOMONTH(DATE('📊 Dashboard'!$L$3,7,1),0))</f>
        <v/>
      </c>
      <c r="D14" s="25">
        <f>$B14-$C14</f>
        <v/>
      </c>
      <c r="E14" s="26">
        <f>$E13+$D14</f>
        <v/>
      </c>
      <c r="F14" s="1" t="n"/>
      <c r="G14" s="37" t="inlineStr">
        <is>
          <t>Vestuário</t>
        </is>
      </c>
      <c r="H14" s="25">
        <f>SUMIFS('💸 Despesas'!$D:$D,'💸 Despesas'!$C:$C,$G14,'💸 Despesas'!$A:$A,"&gt;="&amp;DATE('📊 Dashboard'!$L$3,'📊 Dashboard'!$J$3,1),'💸 Despesas'!$A:$A,"&lt;="&amp;EOMONTH(DATE('📊 Dashboard'!$L$3,'📊 Dashboard'!$J$3,1),0))</f>
        <v/>
      </c>
      <c r="I14" s="35">
        <f>IFERROR($H14/SUM($H$8:$H$18),0)</f>
        <v/>
      </c>
      <c r="J14" s="1" t="n"/>
      <c r="K14" s="1" t="n"/>
      <c r="L14" s="1" t="n"/>
      <c r="M14" s="1" t="n"/>
      <c r="N14" s="1" t="n"/>
    </row>
    <row r="15">
      <c r="A15" s="39" t="inlineStr">
        <is>
          <t>Ago</t>
        </is>
      </c>
      <c r="B15" s="23">
        <f>SUMIFS('💰 Receitas'!$D:$D,'💰 Receitas'!$A:$A,"&gt;="&amp;DATE('📊 Dashboard'!$L$3,8,1),'💰 Receitas'!$A:$A,"&lt;="&amp;EOMONTH(DATE('📊 Dashboard'!$L$3,8,1),0))</f>
        <v/>
      </c>
      <c r="C15" s="25">
        <f>SUMIFS('💸 Despesas'!$D:$D,'💸 Despesas'!$A:$A,"&gt;="&amp;DATE('📊 Dashboard'!$L$3,8,1),'💸 Despesas'!$A:$A,"&lt;="&amp;EOMONTH(DATE('📊 Dashboard'!$L$3,8,1),0))</f>
        <v/>
      </c>
      <c r="D15" s="25">
        <f>$B15-$C15</f>
        <v/>
      </c>
      <c r="E15" s="26">
        <f>$E14+$D15</f>
        <v/>
      </c>
      <c r="F15" s="1" t="n"/>
      <c r="G15" s="37" t="inlineStr">
        <is>
          <t>Assinaturas</t>
        </is>
      </c>
      <c r="H15" s="25">
        <f>SUMIFS('💸 Despesas'!$D:$D,'💸 Despesas'!$C:$C,$G15,'💸 Despesas'!$A:$A,"&gt;="&amp;DATE('📊 Dashboard'!$L$3,'📊 Dashboard'!$J$3,1),'💸 Despesas'!$A:$A,"&lt;="&amp;EOMONTH(DATE('📊 Dashboard'!$L$3,'📊 Dashboard'!$J$3,1),0))</f>
        <v/>
      </c>
      <c r="I15" s="35">
        <f>IFERROR($H15/SUM($H$8:$H$18),0)</f>
        <v/>
      </c>
      <c r="J15" s="1" t="n"/>
      <c r="K15" s="1" t="n"/>
      <c r="L15" s="1" t="n"/>
      <c r="M15" s="1" t="n"/>
      <c r="N15" s="1" t="n"/>
    </row>
    <row r="16">
      <c r="A16" s="39" t="inlineStr">
        <is>
          <t>Set</t>
        </is>
      </c>
      <c r="B16" s="23">
        <f>SUMIFS('💰 Receitas'!$D:$D,'💰 Receitas'!$A:$A,"&gt;="&amp;DATE('📊 Dashboard'!$L$3,9,1),'💰 Receitas'!$A:$A,"&lt;="&amp;EOMONTH(DATE('📊 Dashboard'!$L$3,9,1),0))</f>
        <v/>
      </c>
      <c r="C16" s="25">
        <f>SUMIFS('💸 Despesas'!$D:$D,'💸 Despesas'!$A:$A,"&gt;="&amp;DATE('📊 Dashboard'!$L$3,9,1),'💸 Despesas'!$A:$A,"&lt;="&amp;EOMONTH(DATE('📊 Dashboard'!$L$3,9,1),0))</f>
        <v/>
      </c>
      <c r="D16" s="25">
        <f>$B16-$C16</f>
        <v/>
      </c>
      <c r="E16" s="26">
        <f>$E15+$D16</f>
        <v/>
      </c>
      <c r="F16" s="1" t="n"/>
      <c r="G16" s="37" t="inlineStr">
        <is>
          <t>Contas Fixas</t>
        </is>
      </c>
      <c r="H16" s="25">
        <f>SUMIFS('💸 Despesas'!$D:$D,'💸 Despesas'!$C:$C,$G16,'💸 Despesas'!$A:$A,"&gt;="&amp;DATE('📊 Dashboard'!$L$3,'📊 Dashboard'!$J$3,1),'💸 Despesas'!$A:$A,"&lt;="&amp;EOMONTH(DATE('📊 Dashboard'!$L$3,'📊 Dashboard'!$J$3,1),0))</f>
        <v/>
      </c>
      <c r="I16" s="35">
        <f>IFERROR($H16/SUM($H$8:$H$18),0)</f>
        <v/>
      </c>
      <c r="J16" s="1" t="n"/>
      <c r="K16" s="1" t="n"/>
      <c r="L16" s="1" t="n"/>
      <c r="M16" s="1" t="n"/>
      <c r="N16" s="1" t="n"/>
    </row>
    <row r="17">
      <c r="A17" s="39" t="inlineStr">
        <is>
          <t>Out</t>
        </is>
      </c>
      <c r="B17" s="23">
        <f>SUMIFS('💰 Receitas'!$D:$D,'💰 Receitas'!$A:$A,"&gt;="&amp;DATE('📊 Dashboard'!$L$3,10,1),'💰 Receitas'!$A:$A,"&lt;="&amp;EOMONTH(DATE('📊 Dashboard'!$L$3,10,1),0))</f>
        <v/>
      </c>
      <c r="C17" s="25">
        <f>SUMIFS('💸 Despesas'!$D:$D,'💸 Despesas'!$A:$A,"&gt;="&amp;DATE('📊 Dashboard'!$L$3,10,1),'💸 Despesas'!$A:$A,"&lt;="&amp;EOMONTH(DATE('📊 Dashboard'!$L$3,10,1),0))</f>
        <v/>
      </c>
      <c r="D17" s="25">
        <f>$B17-$C17</f>
        <v/>
      </c>
      <c r="E17" s="26">
        <f>$E16+$D17</f>
        <v/>
      </c>
      <c r="F17" s="1" t="n"/>
      <c r="G17" s="37" t="inlineStr">
        <is>
          <t>Investimentos</t>
        </is>
      </c>
      <c r="H17" s="25">
        <f>SUMIFS('💸 Despesas'!$D:$D,'💸 Despesas'!$C:$C,$G17,'💸 Despesas'!$A:$A,"&gt;="&amp;DATE('📊 Dashboard'!$L$3,'📊 Dashboard'!$J$3,1),'💸 Despesas'!$A:$A,"&lt;="&amp;EOMONTH(DATE('📊 Dashboard'!$L$3,'📊 Dashboard'!$J$3,1),0))</f>
        <v/>
      </c>
      <c r="I17" s="35">
        <f>IFERROR($H17/SUM($H$8:$H$18),0)</f>
        <v/>
      </c>
      <c r="J17" s="1" t="n"/>
      <c r="K17" s="1" t="n"/>
      <c r="L17" s="1" t="n"/>
      <c r="M17" s="1" t="n"/>
      <c r="N17" s="1" t="n"/>
    </row>
    <row r="18">
      <c r="A18" s="39" t="inlineStr">
        <is>
          <t>Nov</t>
        </is>
      </c>
      <c r="B18" s="23">
        <f>SUMIFS('💰 Receitas'!$D:$D,'💰 Receitas'!$A:$A,"&gt;="&amp;DATE('📊 Dashboard'!$L$3,11,1),'💰 Receitas'!$A:$A,"&lt;="&amp;EOMONTH(DATE('📊 Dashboard'!$L$3,11,1),0))</f>
        <v/>
      </c>
      <c r="C18" s="25">
        <f>SUMIFS('💸 Despesas'!$D:$D,'💸 Despesas'!$A:$A,"&gt;="&amp;DATE('📊 Dashboard'!$L$3,11,1),'💸 Despesas'!$A:$A,"&lt;="&amp;EOMONTH(DATE('📊 Dashboard'!$L$3,11,1),0))</f>
        <v/>
      </c>
      <c r="D18" s="25">
        <f>$B18-$C18</f>
        <v/>
      </c>
      <c r="E18" s="26">
        <f>$E17+$D18</f>
        <v/>
      </c>
      <c r="F18" s="1" t="n"/>
      <c r="G18" s="37" t="inlineStr">
        <is>
          <t>Outros</t>
        </is>
      </c>
      <c r="H18" s="25">
        <f>SUMIFS('💸 Despesas'!$D:$D,'💸 Despesas'!$C:$C,$G18,'💸 Despesas'!$A:$A,"&gt;="&amp;DATE('📊 Dashboard'!$L$3,'📊 Dashboard'!$J$3,1),'💸 Despesas'!$A:$A,"&lt;="&amp;EOMONTH(DATE('📊 Dashboard'!$L$3,'📊 Dashboard'!$J$3,1),0))</f>
        <v/>
      </c>
      <c r="I18" s="35">
        <f>IFERROR($H18/SUM($H$8:$H$18),0)</f>
        <v/>
      </c>
      <c r="J18" s="1" t="n"/>
      <c r="K18" s="1" t="n"/>
      <c r="L18" s="1" t="n"/>
      <c r="M18" s="1" t="n"/>
      <c r="N18" s="1" t="n"/>
    </row>
    <row r="19">
      <c r="A19" s="39" t="inlineStr">
        <is>
          <t>Dez</t>
        </is>
      </c>
      <c r="B19" s="23">
        <f>SUMIFS('💰 Receitas'!$D:$D,'💰 Receitas'!$A:$A,"&gt;="&amp;DATE('📊 Dashboard'!$L$3,12,1),'💰 Receitas'!$A:$A,"&lt;="&amp;EOMONTH(DATE('📊 Dashboard'!$L$3,12,1),0))</f>
        <v/>
      </c>
      <c r="C19" s="25">
        <f>SUMIFS('💸 Despesas'!$D:$D,'💸 Despesas'!$A:$A,"&gt;="&amp;DATE('📊 Dashboard'!$L$3,12,1),'💸 Despesas'!$A:$A,"&lt;="&amp;EOMONTH(DATE('📊 Dashboard'!$L$3,12,1),0))</f>
        <v/>
      </c>
      <c r="D19" s="25">
        <f>$B19-$C19</f>
        <v/>
      </c>
      <c r="E19" s="26">
        <f>$E18+$D19</f>
        <v/>
      </c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40" t="inlineStr">
        <is>
          <t>TOTAL</t>
        </is>
      </c>
      <c r="B20" s="28">
        <f>SUM(B8:B19)</f>
        <v/>
      </c>
      <c r="C20" s="28">
        <f>SUM(C8:C19)</f>
        <v/>
      </c>
      <c r="D20" s="28">
        <f>SUM(D8:D19)</f>
        <v/>
      </c>
      <c r="E20" s="41" t="inlineStr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29" t="inlineStr">
        <is>
          <t>🏆 Ranking — 10 maiores despesas lançadas</t>
        </is>
      </c>
      <c r="B22" s="1" t="n"/>
      <c r="C22" s="1" t="n"/>
      <c r="D22" s="1" t="n"/>
      <c r="E22" s="1" t="n"/>
      <c r="F22" s="1" t="n"/>
      <c r="G22" s="29" t="inlineStr">
        <is>
          <t>📅 Comparativo anual</t>
        </is>
      </c>
      <c r="H22" s="1" t="n"/>
      <c r="I22" s="1" t="n"/>
      <c r="J22" s="1" t="n"/>
      <c r="K22" s="1" t="n"/>
      <c r="L22" s="1" t="n"/>
      <c r="M22" s="1" t="n"/>
      <c r="N22" s="1" t="n"/>
    </row>
    <row r="23">
      <c r="A23" s="17" t="inlineStr">
        <is>
          <t>Nº</t>
        </is>
      </c>
      <c r="B23" s="17" t="inlineStr">
        <is>
          <t>Descrição</t>
        </is>
      </c>
      <c r="C23" s="42" t="n"/>
      <c r="D23" s="17" t="inlineStr">
        <is>
          <t>Valor</t>
        </is>
      </c>
      <c r="E23" s="1" t="n"/>
      <c r="F23" s="1" t="n"/>
      <c r="G23" s="17" t="inlineStr">
        <is>
          <t>Ano</t>
        </is>
      </c>
      <c r="H23" s="17" t="inlineStr">
        <is>
          <t>Receitas</t>
        </is>
      </c>
      <c r="I23" s="17" t="inlineStr">
        <is>
          <t>Despesas</t>
        </is>
      </c>
      <c r="J23" s="1" t="n"/>
      <c r="K23" s="1" t="n"/>
      <c r="L23" s="1" t="n"/>
      <c r="M23" s="1" t="n"/>
      <c r="N23" s="1" t="n"/>
    </row>
    <row r="24">
      <c r="A24" s="39" t="n">
        <v>1</v>
      </c>
      <c r="B24" s="37">
        <f>IFERROR(INDEX('💸 Despesas'!$B$5:$B$204,MATCH($D24,'💸 Despesas'!$D$5:$D$204,0)),"")</f>
        <v/>
      </c>
      <c r="C24" s="43" t="n"/>
      <c r="D24" s="30">
        <f>IFERROR(LARGE('💸 Despesas'!$D$5:$D$204,1),"")</f>
        <v/>
      </c>
      <c r="E24" s="1" t="n"/>
      <c r="F24" s="1" t="n"/>
      <c r="G24" s="39">
        <f>'📊 Dashboard'!$L$3-1</f>
        <v/>
      </c>
      <c r="H24" s="23">
        <f>SUMIFS('💰 Receitas'!$D:$D,'💰 Receitas'!$A:$A,"&gt;="&amp;DATE('📊 Dashboard'!$L$3-1,1,1),'💰 Receitas'!$A:$A,"&lt;="&amp;DATE('📊 Dashboard'!$L$3-1,12,31))</f>
        <v/>
      </c>
      <c r="I24" s="25">
        <f>SUMIFS('💸 Despesas'!$D:$D,'💸 Despesas'!$A:$A,"&gt;="&amp;DATE('📊 Dashboard'!$L$3-1,1,1),'💸 Despesas'!$A:$A,"&lt;="&amp;DATE('📊 Dashboard'!$L$3-1,12,31))</f>
        <v/>
      </c>
      <c r="J24" s="1" t="n"/>
      <c r="K24" s="1" t="n"/>
      <c r="L24" s="1" t="n"/>
      <c r="M24" s="1" t="n"/>
      <c r="N24" s="1" t="n"/>
    </row>
    <row r="25">
      <c r="A25" s="39" t="n">
        <v>2</v>
      </c>
      <c r="B25" s="37">
        <f>IFERROR(INDEX('💸 Despesas'!$B$5:$B$204,MATCH($D25,'💸 Despesas'!$D$5:$D$204,0)),"")</f>
        <v/>
      </c>
      <c r="C25" s="43" t="n"/>
      <c r="D25" s="30">
        <f>IFERROR(LARGE('💸 Despesas'!$D$5:$D$204,2),"")</f>
        <v/>
      </c>
      <c r="E25" s="1" t="n"/>
      <c r="F25" s="1" t="n"/>
      <c r="G25" s="39">
        <f>'📊 Dashboard'!$L$3</f>
        <v/>
      </c>
      <c r="H25" s="23">
        <f>SUMIFS('💰 Receitas'!$D:$D,'💰 Receitas'!$A:$A,"&gt;="&amp;DATE('📊 Dashboard'!$L$3,1,1),'💰 Receitas'!$A:$A,"&lt;="&amp;DATE('📊 Dashboard'!$L$3,12,31))</f>
        <v/>
      </c>
      <c r="I25" s="25">
        <f>SUMIFS('💸 Despesas'!$D:$D,'💸 Despesas'!$A:$A,"&gt;="&amp;DATE('📊 Dashboard'!$L$3,1,1),'💸 Despesas'!$A:$A,"&lt;="&amp;DATE('📊 Dashboard'!$L$3,12,31))</f>
        <v/>
      </c>
      <c r="J25" s="1" t="n"/>
      <c r="K25" s="1" t="n"/>
      <c r="L25" s="1" t="n"/>
      <c r="M25" s="1" t="n"/>
      <c r="N25" s="1" t="n"/>
    </row>
    <row r="26">
      <c r="A26" s="39" t="n">
        <v>3</v>
      </c>
      <c r="B26" s="37">
        <f>IFERROR(INDEX('💸 Despesas'!$B$5:$B$204,MATCH($D26,'💸 Despesas'!$D$5:$D$204,0)),"")</f>
        <v/>
      </c>
      <c r="C26" s="43" t="n"/>
      <c r="D26" s="30">
        <f>IFERROR(LARGE('💸 Despesas'!$D$5:$D$204,3),"")</f>
        <v/>
      </c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39" t="n">
        <v>4</v>
      </c>
      <c r="B27" s="37">
        <f>IFERROR(INDEX('💸 Despesas'!$B$5:$B$204,MATCH($D27,'💸 Despesas'!$D$5:$D$204,0)),"")</f>
        <v/>
      </c>
      <c r="C27" s="43" t="n"/>
      <c r="D27" s="30">
        <f>IFERROR(LARGE('💸 Despesas'!$D$5:$D$204,4),"")</f>
        <v/>
      </c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39" t="n">
        <v>5</v>
      </c>
      <c r="B28" s="37">
        <f>IFERROR(INDEX('💸 Despesas'!$B$5:$B$204,MATCH($D28,'💸 Despesas'!$D$5:$D$204,0)),"")</f>
        <v/>
      </c>
      <c r="C28" s="43" t="n"/>
      <c r="D28" s="30">
        <f>IFERROR(LARGE('💸 Despesas'!$D$5:$D$204,5),"")</f>
        <v/>
      </c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39" t="n">
        <v>6</v>
      </c>
      <c r="B29" s="37">
        <f>IFERROR(INDEX('💸 Despesas'!$B$5:$B$204,MATCH($D29,'💸 Despesas'!$D$5:$D$204,0)),"")</f>
        <v/>
      </c>
      <c r="C29" s="43" t="n"/>
      <c r="D29" s="30">
        <f>IFERROR(LARGE('💸 Despesas'!$D$5:$D$204,6),"")</f>
        <v/>
      </c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39" t="n">
        <v>7</v>
      </c>
      <c r="B30" s="37">
        <f>IFERROR(INDEX('💸 Despesas'!$B$5:$B$204,MATCH($D30,'💸 Despesas'!$D$5:$D$204,0)),"")</f>
        <v/>
      </c>
      <c r="C30" s="43" t="n"/>
      <c r="D30" s="30">
        <f>IFERROR(LARGE('💸 Despesas'!$D$5:$D$204,7),"")</f>
        <v/>
      </c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39" t="n">
        <v>8</v>
      </c>
      <c r="B31" s="37">
        <f>IFERROR(INDEX('💸 Despesas'!$B$5:$B$204,MATCH($D31,'💸 Despesas'!$D$5:$D$204,0)),"")</f>
        <v/>
      </c>
      <c r="C31" s="43" t="n"/>
      <c r="D31" s="30">
        <f>IFERROR(LARGE('💸 Despesas'!$D$5:$D$204,8),"")</f>
        <v/>
      </c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39" t="n">
        <v>9</v>
      </c>
      <c r="B32" s="37">
        <f>IFERROR(INDEX('💸 Despesas'!$B$5:$B$204,MATCH($D32,'💸 Despesas'!$D$5:$D$204,0)),"")</f>
        <v/>
      </c>
      <c r="C32" s="43" t="n"/>
      <c r="D32" s="30">
        <f>IFERROR(LARGE('💸 Despesas'!$D$5:$D$204,9),"")</f>
        <v/>
      </c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39" t="n">
        <v>10</v>
      </c>
      <c r="B33" s="37">
        <f>IFERROR(INDEX('💸 Despesas'!$B$5:$B$204,MATCH($D33,'💸 Despesas'!$D$5:$D$204,0)),"")</f>
        <v/>
      </c>
      <c r="C33" s="43" t="n"/>
      <c r="D33" s="30">
        <f>IFERROR(LARGE('💸 Despesas'!$D$5:$D$204,10),"")</f>
        <v/>
      </c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mergeCells count="11">
    <mergeCell ref="B24:C24"/>
    <mergeCell ref="B30:C30"/>
    <mergeCell ref="B29:C29"/>
    <mergeCell ref="B33:C33"/>
    <mergeCell ref="B25:C25"/>
    <mergeCell ref="B28:C28"/>
    <mergeCell ref="B23:C23"/>
    <mergeCell ref="B32:C32"/>
    <mergeCell ref="B31:C31"/>
    <mergeCell ref="B26:C26"/>
    <mergeCell ref="B27:C27"/>
  </mergeCells>
  <hyperlinks>
    <hyperlink ref="B1" location="'📊 Dashboard'!A1" tooltip="Ir para 📊 Dashboard"/>
    <hyperlink ref="C1" location="'💰 Receitas'!A1" tooltip="Ir para 💰 Receitas"/>
    <hyperlink ref="D1" location="'💸 Despesas'!A1" tooltip="Ir para 💸 Despesas"/>
    <hyperlink ref="E1" location="'🏦 Contas'!A1" tooltip="Ir para 🏦 Contas"/>
    <hyperlink ref="F1" location="'💳 Cartões'!A1" tooltip="Ir para 💳 Cartões"/>
    <hyperlink ref="G1" location="'🎯 Metas'!A1" tooltip="Ir para 🎯 Metas"/>
    <hyperlink ref="H1" location="'📅 Planejamento'!A1" tooltip="Ir para 📅 Planejamento"/>
    <hyperlink ref="I1" location="'📈 Relatórios'!A1" tooltip="Ir para 📈 Relatórios"/>
    <hyperlink ref="J1" location="'🔔 Alertas'!A1" tooltip="Ir para 🔔 Alertas"/>
    <hyperlink ref="K1" location="'⚙️ Config'!A1" tooltip="Ir para ⚙️ Config"/>
  </hyperlink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1B5E20"/>
    <outlinePr summaryBelow="1" summaryRight="1"/>
    <pageSetUpPr/>
  </sheetPr>
  <dimension ref="A1:K6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36" customWidth="1" min="3" max="3"/>
    <col width="14" customWidth="1" min="4" max="4"/>
    <col width="10" customWidth="1" min="5" max="5"/>
    <col width="14" customWidth="1" min="6" max="6"/>
  </cols>
  <sheetData>
    <row r="1" ht="24" customHeight="1">
      <c r="A1" s="1" t="n"/>
      <c r="B1" s="3" t="inlineStr">
        <is>
          <t>📊 Início</t>
        </is>
      </c>
      <c r="C1" s="3" t="inlineStr">
        <is>
          <t>💰 Receitas</t>
        </is>
      </c>
      <c r="D1" s="3" t="inlineStr">
        <is>
          <t>💸 Despesas</t>
        </is>
      </c>
      <c r="E1" s="3" t="inlineStr">
        <is>
          <t>🏦 Contas</t>
        </is>
      </c>
      <c r="F1" s="3" t="inlineStr">
        <is>
          <t>💳 Cartões</t>
        </is>
      </c>
      <c r="G1" s="3" t="inlineStr">
        <is>
          <t>🎯 Metas</t>
        </is>
      </c>
      <c r="H1" s="3" t="inlineStr">
        <is>
          <t>📅 Orçamento</t>
        </is>
      </c>
      <c r="I1" s="3" t="inlineStr">
        <is>
          <t>📈 Relatórios</t>
        </is>
      </c>
      <c r="J1" s="2" t="inlineStr">
        <is>
          <t>🔔 Alertas</t>
        </is>
      </c>
      <c r="K1" s="3" t="inlineStr">
        <is>
          <t>⚙️ Config</t>
        </is>
      </c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1" t="n"/>
      <c r="B3" s="4" t="inlineStr">
        <is>
          <t>🔔 Alertas Inteligentes</t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>
      <c r="A4" s="1" t="n"/>
      <c r="B4" s="7" t="inlineStr">
        <is>
          <t>Tudo aqui é automático — os avisos aparecem conforme seus lançamentos.</t>
        </is>
      </c>
      <c r="C4" s="1" t="n"/>
      <c r="D4" s="1" t="n"/>
      <c r="E4" s="1" t="n"/>
      <c r="F4" s="1" t="n"/>
      <c r="G4" s="1" t="n"/>
      <c r="H4" s="1" t="n"/>
      <c r="I4" s="1" t="n"/>
      <c r="J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6">
      <c r="A6" s="29" t="inlineStr">
        <is>
          <t>Resumo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</row>
    <row r="7">
      <c r="A7" s="1" t="n"/>
      <c r="B7" s="37" t="inlineStr">
        <is>
          <t>🚨 Orçamentos estourados no mês</t>
        </is>
      </c>
      <c r="C7" s="44" t="n"/>
      <c r="D7" s="43" t="n"/>
      <c r="E7" s="45">
        <f>SUMPRODUCT(('📅 Planejamento'!$C$7:$C$17&gt;'📅 Planejamento'!$B$7:$B$17)*1)</f>
        <v/>
      </c>
      <c r="F7" s="34">
        <f>IF($E7=0,"✅ OK","⚠️ Verificar")</f>
        <v/>
      </c>
      <c r="G7" s="1" t="n"/>
      <c r="H7" s="1" t="n"/>
      <c r="I7" s="1" t="n"/>
      <c r="J7" s="1" t="n"/>
    </row>
    <row r="8">
      <c r="A8" s="1" t="n"/>
      <c r="B8" s="37" t="inlineStr">
        <is>
          <t>⏰ Contas a vencer nos próximos 7 dias</t>
        </is>
      </c>
      <c r="C8" s="44" t="n"/>
      <c r="D8" s="43" t="n"/>
      <c r="E8" s="45">
        <f>COUNTIFS('💸 Despesas'!$I:$I,"Não",'💸 Despesas'!$H:$H,"&gt;="&amp;TODAY(),'💸 Despesas'!$H:$H,"&lt;="&amp;TODAY()+7)</f>
        <v/>
      </c>
      <c r="F8" s="34">
        <f>IF($E8=0,"✅ OK","⚠️ Verificar")</f>
        <v/>
      </c>
      <c r="G8" s="1" t="n"/>
      <c r="H8" s="1" t="n"/>
      <c r="I8" s="1" t="n"/>
      <c r="J8" s="1" t="n"/>
    </row>
    <row r="9">
      <c r="A9" s="1" t="n"/>
      <c r="B9" s="37" t="inlineStr">
        <is>
          <t>🔴 Contas vencidas e não pagas</t>
        </is>
      </c>
      <c r="C9" s="44" t="n"/>
      <c r="D9" s="43" t="n"/>
      <c r="E9" s="45">
        <f>COUNTIFS('💸 Despesas'!$I:$I,"Não",'💸 Despesas'!$H:$H,"&lt;"&amp;TODAY())</f>
        <v/>
      </c>
      <c r="F9" s="34">
        <f>IF($E9=0,"✅ OK","⚠️ Verificar")</f>
        <v/>
      </c>
      <c r="G9" s="1" t="n"/>
      <c r="H9" s="1" t="n"/>
      <c r="I9" s="1" t="n"/>
      <c r="J9" s="1" t="n"/>
    </row>
    <row r="10">
      <c r="A10" s="1" t="n"/>
      <c r="B10" s="37" t="inlineStr">
        <is>
          <t>🎉 Metas atingidas</t>
        </is>
      </c>
      <c r="C10" s="44" t="n"/>
      <c r="D10" s="43" t="n"/>
      <c r="E10" s="45">
        <f>SUMPRODUCT(('🎯 Metas'!$C$7:$C$14&gt;='🎯 Metas'!$B$7:$B$14)*('🎯 Metas'!$B$7:$B$14&gt;0))</f>
        <v/>
      </c>
      <c r="F10" s="34">
        <f>IF($E10=0,"✅ OK","⚠️ Verificar")</f>
        <v/>
      </c>
      <c r="G10" s="1" t="n"/>
      <c r="H10" s="1" t="n"/>
      <c r="I10" s="1" t="n"/>
      <c r="J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</row>
    <row r="13">
      <c r="A13" s="29" t="inlineStr">
        <is>
          <t>⏰ Vencimentos próximos (inclui vencidas)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</row>
    <row r="14">
      <c r="A14" s="17" t="inlineStr">
        <is>
          <t>Nº</t>
        </is>
      </c>
      <c r="B14" s="17" t="inlineStr">
        <is>
          <t>Vencimento</t>
        </is>
      </c>
      <c r="C14" s="17" t="inlineStr">
        <is>
          <t>Descrição</t>
        </is>
      </c>
      <c r="D14" s="17" t="inlineStr">
        <is>
          <t>Valor</t>
        </is>
      </c>
      <c r="E14" s="17" t="inlineStr">
        <is>
          <t>Dias</t>
        </is>
      </c>
      <c r="F14" s="17" t="inlineStr">
        <is>
          <t>Situação</t>
        </is>
      </c>
      <c r="G14" s="1" t="n"/>
      <c r="H14" s="1" t="n"/>
      <c r="I14" s="1" t="n"/>
      <c r="J14" s="1" t="n"/>
    </row>
    <row r="15">
      <c r="A15" s="39" t="n">
        <v>1</v>
      </c>
      <c r="B15" s="46">
        <f>IFERROR(INDEX('💸 Despesas'!$H$5:$H$204,MATCH(1,'💸 Despesas'!$K$5:$K$204,0)),"")</f>
        <v/>
      </c>
      <c r="C15" s="37">
        <f>IFERROR(INDEX('💸 Despesas'!$B$5:$B$204,MATCH(1,'💸 Despesas'!$K$5:$K$204,0)),"")</f>
        <v/>
      </c>
      <c r="D15" s="25">
        <f>IFERROR(INDEX('💸 Despesas'!$D$5:$D$204,MATCH(1,'💸 Despesas'!$K$5:$K$204,0)),"")</f>
        <v/>
      </c>
      <c r="E15" s="47">
        <f>IF($B15="","",$B15-TODAY())</f>
        <v/>
      </c>
      <c r="F15" s="34">
        <f>IF($B15="","",IF($E15&lt;0,"🔴 VENCIDA",IF($E15&lt;=3,"🟠 Urgente","🟡 Em breve")))</f>
        <v/>
      </c>
      <c r="G15" s="1" t="n"/>
      <c r="H15" s="1" t="n"/>
      <c r="I15" s="1" t="n"/>
      <c r="J15" s="1" t="n"/>
    </row>
    <row r="16">
      <c r="A16" s="39" t="n">
        <v>2</v>
      </c>
      <c r="B16" s="46">
        <f>IFERROR(INDEX('💸 Despesas'!$H$5:$H$204,MATCH(2,'💸 Despesas'!$K$5:$K$204,0)),"")</f>
        <v/>
      </c>
      <c r="C16" s="37">
        <f>IFERROR(INDEX('💸 Despesas'!$B$5:$B$204,MATCH(2,'💸 Despesas'!$K$5:$K$204,0)),"")</f>
        <v/>
      </c>
      <c r="D16" s="25">
        <f>IFERROR(INDEX('💸 Despesas'!$D$5:$D$204,MATCH(2,'💸 Despesas'!$K$5:$K$204,0)),"")</f>
        <v/>
      </c>
      <c r="E16" s="47">
        <f>IF($B16="","",$B16-TODAY())</f>
        <v/>
      </c>
      <c r="F16" s="34">
        <f>IF($B16="","",IF($E16&lt;0,"🔴 VENCIDA",IF($E16&lt;=3,"🟠 Urgente","🟡 Em breve")))</f>
        <v/>
      </c>
      <c r="G16" s="1" t="n"/>
      <c r="H16" s="1" t="n"/>
      <c r="I16" s="1" t="n"/>
      <c r="J16" s="1" t="n"/>
    </row>
    <row r="17">
      <c r="A17" s="39" t="n">
        <v>3</v>
      </c>
      <c r="B17" s="46">
        <f>IFERROR(INDEX('💸 Despesas'!$H$5:$H$204,MATCH(3,'💸 Despesas'!$K$5:$K$204,0)),"")</f>
        <v/>
      </c>
      <c r="C17" s="37">
        <f>IFERROR(INDEX('💸 Despesas'!$B$5:$B$204,MATCH(3,'💸 Despesas'!$K$5:$K$204,0)),"")</f>
        <v/>
      </c>
      <c r="D17" s="25">
        <f>IFERROR(INDEX('💸 Despesas'!$D$5:$D$204,MATCH(3,'💸 Despesas'!$K$5:$K$204,0)),"")</f>
        <v/>
      </c>
      <c r="E17" s="47">
        <f>IF($B17="","",$B17-TODAY())</f>
        <v/>
      </c>
      <c r="F17" s="34">
        <f>IF($B17="","",IF($E17&lt;0,"🔴 VENCIDA",IF($E17&lt;=3,"🟠 Urgente","🟡 Em breve")))</f>
        <v/>
      </c>
      <c r="G17" s="1" t="n"/>
      <c r="H17" s="1" t="n"/>
      <c r="I17" s="1" t="n"/>
      <c r="J17" s="1" t="n"/>
    </row>
    <row r="18">
      <c r="A18" s="39" t="n">
        <v>4</v>
      </c>
      <c r="B18" s="46">
        <f>IFERROR(INDEX('💸 Despesas'!$H$5:$H$204,MATCH(4,'💸 Despesas'!$K$5:$K$204,0)),"")</f>
        <v/>
      </c>
      <c r="C18" s="37">
        <f>IFERROR(INDEX('💸 Despesas'!$B$5:$B$204,MATCH(4,'💸 Despesas'!$K$5:$K$204,0)),"")</f>
        <v/>
      </c>
      <c r="D18" s="25">
        <f>IFERROR(INDEX('💸 Despesas'!$D$5:$D$204,MATCH(4,'💸 Despesas'!$K$5:$K$204,0)),"")</f>
        <v/>
      </c>
      <c r="E18" s="47">
        <f>IF($B18="","",$B18-TODAY())</f>
        <v/>
      </c>
      <c r="F18" s="34">
        <f>IF($B18="","",IF($E18&lt;0,"🔴 VENCIDA",IF($E18&lt;=3,"🟠 Urgente","🟡 Em breve")))</f>
        <v/>
      </c>
      <c r="G18" s="1" t="n"/>
      <c r="H18" s="1" t="n"/>
      <c r="I18" s="1" t="n"/>
      <c r="J18" s="1" t="n"/>
    </row>
    <row r="19">
      <c r="A19" s="39" t="n">
        <v>5</v>
      </c>
      <c r="B19" s="46">
        <f>IFERROR(INDEX('💸 Despesas'!$H$5:$H$204,MATCH(5,'💸 Despesas'!$K$5:$K$204,0)),"")</f>
        <v/>
      </c>
      <c r="C19" s="37">
        <f>IFERROR(INDEX('💸 Despesas'!$B$5:$B$204,MATCH(5,'💸 Despesas'!$K$5:$K$204,0)),"")</f>
        <v/>
      </c>
      <c r="D19" s="25">
        <f>IFERROR(INDEX('💸 Despesas'!$D$5:$D$204,MATCH(5,'💸 Despesas'!$K$5:$K$204,0)),"")</f>
        <v/>
      </c>
      <c r="E19" s="47">
        <f>IF($B19="","",$B19-TODAY())</f>
        <v/>
      </c>
      <c r="F19" s="34">
        <f>IF($B19="","",IF($E19&lt;0,"🔴 VENCIDA",IF($E19&lt;=3,"🟠 Urgente","🟡 Em breve")))</f>
        <v/>
      </c>
      <c r="G19" s="1" t="n"/>
      <c r="H19" s="1" t="n"/>
      <c r="I19" s="1" t="n"/>
      <c r="J19" s="1" t="n"/>
    </row>
    <row r="20">
      <c r="A20" s="39" t="n">
        <v>6</v>
      </c>
      <c r="B20" s="46">
        <f>IFERROR(INDEX('💸 Despesas'!$H$5:$H$204,MATCH(6,'💸 Despesas'!$K$5:$K$204,0)),"")</f>
        <v/>
      </c>
      <c r="C20" s="37">
        <f>IFERROR(INDEX('💸 Despesas'!$B$5:$B$204,MATCH(6,'💸 Despesas'!$K$5:$K$204,0)),"")</f>
        <v/>
      </c>
      <c r="D20" s="25">
        <f>IFERROR(INDEX('💸 Despesas'!$D$5:$D$204,MATCH(6,'💸 Despesas'!$K$5:$K$204,0)),"")</f>
        <v/>
      </c>
      <c r="E20" s="47">
        <f>IF($B20="","",$B20-TODAY())</f>
        <v/>
      </c>
      <c r="F20" s="34">
        <f>IF($B20="","",IF($E20&lt;0,"🔴 VENCIDA",IF($E20&lt;=3,"🟠 Urgente","🟡 Em breve")))</f>
        <v/>
      </c>
      <c r="G20" s="1" t="n"/>
      <c r="H20" s="1" t="n"/>
      <c r="I20" s="1" t="n"/>
      <c r="J20" s="1" t="n"/>
    </row>
    <row r="21">
      <c r="A21" s="39" t="n">
        <v>7</v>
      </c>
      <c r="B21" s="46">
        <f>IFERROR(INDEX('💸 Despesas'!$H$5:$H$204,MATCH(7,'💸 Despesas'!$K$5:$K$204,0)),"")</f>
        <v/>
      </c>
      <c r="C21" s="37">
        <f>IFERROR(INDEX('💸 Despesas'!$B$5:$B$204,MATCH(7,'💸 Despesas'!$K$5:$K$204,0)),"")</f>
        <v/>
      </c>
      <c r="D21" s="25">
        <f>IFERROR(INDEX('💸 Despesas'!$D$5:$D$204,MATCH(7,'💸 Despesas'!$K$5:$K$204,0)),"")</f>
        <v/>
      </c>
      <c r="E21" s="47">
        <f>IF($B21="","",$B21-TODAY())</f>
        <v/>
      </c>
      <c r="F21" s="34">
        <f>IF($B21="","",IF($E21&lt;0,"🔴 VENCIDA",IF($E21&lt;=3,"🟠 Urgente","🟡 Em breve")))</f>
        <v/>
      </c>
      <c r="G21" s="1" t="n"/>
      <c r="H21" s="1" t="n"/>
      <c r="I21" s="1" t="n"/>
      <c r="J21" s="1" t="n"/>
    </row>
    <row r="22">
      <c r="A22" s="39" t="n">
        <v>8</v>
      </c>
      <c r="B22" s="46">
        <f>IFERROR(INDEX('💸 Despesas'!$H$5:$H$204,MATCH(8,'💸 Despesas'!$K$5:$K$204,0)),"")</f>
        <v/>
      </c>
      <c r="C22" s="37">
        <f>IFERROR(INDEX('💸 Despesas'!$B$5:$B$204,MATCH(8,'💸 Despesas'!$K$5:$K$204,0)),"")</f>
        <v/>
      </c>
      <c r="D22" s="25">
        <f>IFERROR(INDEX('💸 Despesas'!$D$5:$D$204,MATCH(8,'💸 Despesas'!$K$5:$K$204,0)),"")</f>
        <v/>
      </c>
      <c r="E22" s="47">
        <f>IF($B22="","",$B22-TODAY())</f>
        <v/>
      </c>
      <c r="F22" s="34">
        <f>IF($B22="","",IF($E22&lt;0,"🔴 VENCIDA",IF($E22&lt;=3,"🟠 Urgente","🟡 Em breve")))</f>
        <v/>
      </c>
      <c r="G22" s="1" t="n"/>
      <c r="H22" s="1" t="n"/>
      <c r="I22" s="1" t="n"/>
      <c r="J22" s="1" t="n"/>
    </row>
    <row r="23">
      <c r="A23" s="39" t="n">
        <v>9</v>
      </c>
      <c r="B23" s="46">
        <f>IFERROR(INDEX('💸 Despesas'!$H$5:$H$204,MATCH(9,'💸 Despesas'!$K$5:$K$204,0)),"")</f>
        <v/>
      </c>
      <c r="C23" s="37">
        <f>IFERROR(INDEX('💸 Despesas'!$B$5:$B$204,MATCH(9,'💸 Despesas'!$K$5:$K$204,0)),"")</f>
        <v/>
      </c>
      <c r="D23" s="25">
        <f>IFERROR(INDEX('💸 Despesas'!$D$5:$D$204,MATCH(9,'💸 Despesas'!$K$5:$K$204,0)),"")</f>
        <v/>
      </c>
      <c r="E23" s="47">
        <f>IF($B23="","",$B23-TODAY())</f>
        <v/>
      </c>
      <c r="F23" s="34">
        <f>IF($B23="","",IF($E23&lt;0,"🔴 VENCIDA",IF($E23&lt;=3,"🟠 Urgente","🟡 Em breve")))</f>
        <v/>
      </c>
      <c r="G23" s="1" t="n"/>
      <c r="H23" s="1" t="n"/>
      <c r="I23" s="1" t="n"/>
      <c r="J23" s="1" t="n"/>
    </row>
    <row r="24">
      <c r="A24" s="39" t="n">
        <v>10</v>
      </c>
      <c r="B24" s="46">
        <f>IFERROR(INDEX('💸 Despesas'!$H$5:$H$204,MATCH(10,'💸 Despesas'!$K$5:$K$204,0)),"")</f>
        <v/>
      </c>
      <c r="C24" s="37">
        <f>IFERROR(INDEX('💸 Despesas'!$B$5:$B$204,MATCH(10,'💸 Despesas'!$K$5:$K$204,0)),"")</f>
        <v/>
      </c>
      <c r="D24" s="25">
        <f>IFERROR(INDEX('💸 Despesas'!$D$5:$D$204,MATCH(10,'💸 Despesas'!$K$5:$K$204,0)),"")</f>
        <v/>
      </c>
      <c r="E24" s="47">
        <f>IF($B24="","",$B24-TODAY())</f>
        <v/>
      </c>
      <c r="F24" s="34">
        <f>IF($B24="","",IF($E24&lt;0,"🔴 VENCIDA",IF($E24&lt;=3,"🟠 Urgente","🟡 Em breve")))</f>
        <v/>
      </c>
      <c r="G24" s="1" t="n"/>
      <c r="H24" s="1" t="n"/>
      <c r="I24" s="1" t="n"/>
      <c r="J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</row>
    <row r="27">
      <c r="A27" s="29" t="inlineStr">
        <is>
          <t>🚨 Orçamentos estourados (mês selecionado)</t>
        </is>
      </c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</row>
    <row r="28">
      <c r="A28" s="17" t="inlineStr"/>
      <c r="B28" s="17" t="inlineStr">
        <is>
          <t>Categoria</t>
        </is>
      </c>
      <c r="C28" s="17" t="inlineStr">
        <is>
          <t>Estouro (R$)</t>
        </is>
      </c>
      <c r="D28" s="17" t="inlineStr"/>
      <c r="E28" s="17" t="inlineStr"/>
      <c r="F28" s="17" t="inlineStr"/>
      <c r="G28" s="1" t="n"/>
      <c r="H28" s="1" t="n"/>
      <c r="I28" s="1" t="n"/>
      <c r="J28" s="1" t="n"/>
    </row>
    <row r="29">
      <c r="A29" s="1" t="n"/>
      <c r="B29" s="37">
        <f>IF('📅 Planejamento'!$C$7&gt;'📅 Planejamento'!$B$7,'📅 Planejamento'!$A$7,"")</f>
        <v/>
      </c>
      <c r="C29" s="48">
        <f>IF('📅 Planejamento'!$C$7&gt;'📅 Planejamento'!$B$7,'📅 Planejamento'!$C$7-'📅 Planejamento'!$B$7,"")</f>
        <v/>
      </c>
      <c r="D29" s="1" t="n"/>
      <c r="E29" s="1" t="n"/>
      <c r="F29" s="1" t="n"/>
      <c r="G29" s="1" t="n"/>
      <c r="H29" s="1" t="n"/>
      <c r="I29" s="1" t="n"/>
      <c r="J29" s="1" t="n"/>
    </row>
    <row r="30">
      <c r="A30" s="1" t="n"/>
      <c r="B30" s="37">
        <f>IF('📅 Planejamento'!$C$8&gt;'📅 Planejamento'!$B$8,'📅 Planejamento'!$A$8,"")</f>
        <v/>
      </c>
      <c r="C30" s="48">
        <f>IF('📅 Planejamento'!$C$8&gt;'📅 Planejamento'!$B$8,'📅 Planejamento'!$C$8-'📅 Planejamento'!$B$8,"")</f>
        <v/>
      </c>
      <c r="D30" s="1" t="n"/>
      <c r="E30" s="1" t="n"/>
      <c r="F30" s="1" t="n"/>
      <c r="G30" s="1" t="n"/>
      <c r="H30" s="1" t="n"/>
      <c r="I30" s="1" t="n"/>
      <c r="J30" s="1" t="n"/>
    </row>
    <row r="31">
      <c r="A31" s="1" t="n"/>
      <c r="B31" s="37">
        <f>IF('📅 Planejamento'!$C$9&gt;'📅 Planejamento'!$B$9,'📅 Planejamento'!$A$9,"")</f>
        <v/>
      </c>
      <c r="C31" s="48">
        <f>IF('📅 Planejamento'!$C$9&gt;'📅 Planejamento'!$B$9,'📅 Planejamento'!$C$9-'📅 Planejamento'!$B$9,"")</f>
        <v/>
      </c>
      <c r="D31" s="1" t="n"/>
      <c r="E31" s="1" t="n"/>
      <c r="F31" s="1" t="n"/>
      <c r="G31" s="1" t="n"/>
      <c r="H31" s="1" t="n"/>
      <c r="I31" s="1" t="n"/>
      <c r="J31" s="1" t="n"/>
    </row>
    <row r="32">
      <c r="A32" s="1" t="n"/>
      <c r="B32" s="37">
        <f>IF('📅 Planejamento'!$C$10&gt;'📅 Planejamento'!$B$10,'📅 Planejamento'!$A$10,"")</f>
        <v/>
      </c>
      <c r="C32" s="48">
        <f>IF('📅 Planejamento'!$C$10&gt;'📅 Planejamento'!$B$10,'📅 Planejamento'!$C$10-'📅 Planejamento'!$B$10,"")</f>
        <v/>
      </c>
      <c r="D32" s="1" t="n"/>
      <c r="E32" s="1" t="n"/>
      <c r="F32" s="1" t="n"/>
      <c r="G32" s="1" t="n"/>
      <c r="H32" s="1" t="n"/>
      <c r="I32" s="1" t="n"/>
      <c r="J32" s="1" t="n"/>
    </row>
    <row r="33">
      <c r="A33" s="1" t="n"/>
      <c r="B33" s="37">
        <f>IF('📅 Planejamento'!$C$11&gt;'📅 Planejamento'!$B$11,'📅 Planejamento'!$A$11,"")</f>
        <v/>
      </c>
      <c r="C33" s="48">
        <f>IF('📅 Planejamento'!$C$11&gt;'📅 Planejamento'!$B$11,'📅 Planejamento'!$C$11-'📅 Planejamento'!$B$11,"")</f>
        <v/>
      </c>
      <c r="D33" s="1" t="n"/>
      <c r="E33" s="1" t="n"/>
      <c r="F33" s="1" t="n"/>
      <c r="G33" s="1" t="n"/>
      <c r="H33" s="1" t="n"/>
      <c r="I33" s="1" t="n"/>
      <c r="J33" s="1" t="n"/>
    </row>
    <row r="34">
      <c r="A34" s="1" t="n"/>
      <c r="B34" s="37">
        <f>IF('📅 Planejamento'!$C$12&gt;'📅 Planejamento'!$B$12,'📅 Planejamento'!$A$12,"")</f>
        <v/>
      </c>
      <c r="C34" s="48">
        <f>IF('📅 Planejamento'!$C$12&gt;'📅 Planejamento'!$B$12,'📅 Planejamento'!$C$12-'📅 Planejamento'!$B$12,"")</f>
        <v/>
      </c>
      <c r="D34" s="1" t="n"/>
      <c r="E34" s="1" t="n"/>
      <c r="F34" s="1" t="n"/>
      <c r="G34" s="1" t="n"/>
      <c r="H34" s="1" t="n"/>
      <c r="I34" s="1" t="n"/>
      <c r="J34" s="1" t="n"/>
    </row>
    <row r="35">
      <c r="A35" s="1" t="n"/>
      <c r="B35" s="37">
        <f>IF('📅 Planejamento'!$C$13&gt;'📅 Planejamento'!$B$13,'📅 Planejamento'!$A$13,"")</f>
        <v/>
      </c>
      <c r="C35" s="48">
        <f>IF('📅 Planejamento'!$C$13&gt;'📅 Planejamento'!$B$13,'📅 Planejamento'!$C$13-'📅 Planejamento'!$B$13,"")</f>
        <v/>
      </c>
      <c r="D35" s="1" t="n"/>
      <c r="E35" s="1" t="n"/>
      <c r="F35" s="1" t="n"/>
      <c r="G35" s="1" t="n"/>
      <c r="H35" s="1" t="n"/>
      <c r="I35" s="1" t="n"/>
      <c r="J35" s="1" t="n"/>
    </row>
    <row r="36">
      <c r="A36" s="1" t="n"/>
      <c r="B36" s="37">
        <f>IF('📅 Planejamento'!$C$14&gt;'📅 Planejamento'!$B$14,'📅 Planejamento'!$A$14,"")</f>
        <v/>
      </c>
      <c r="C36" s="48">
        <f>IF('📅 Planejamento'!$C$14&gt;'📅 Planejamento'!$B$14,'📅 Planejamento'!$C$14-'📅 Planejamento'!$B$14,"")</f>
        <v/>
      </c>
      <c r="D36" s="1" t="n"/>
      <c r="E36" s="1" t="n"/>
      <c r="F36" s="1" t="n"/>
      <c r="G36" s="1" t="n"/>
      <c r="H36" s="1" t="n"/>
      <c r="I36" s="1" t="n"/>
      <c r="J36" s="1" t="n"/>
    </row>
    <row r="37">
      <c r="A37" s="1" t="n"/>
      <c r="B37" s="37">
        <f>IF('📅 Planejamento'!$C$15&gt;'📅 Planejamento'!$B$15,'📅 Planejamento'!$A$15,"")</f>
        <v/>
      </c>
      <c r="C37" s="48">
        <f>IF('📅 Planejamento'!$C$15&gt;'📅 Planejamento'!$B$15,'📅 Planejamento'!$C$15-'📅 Planejamento'!$B$15,"")</f>
        <v/>
      </c>
      <c r="D37" s="1" t="n"/>
      <c r="E37" s="1" t="n"/>
      <c r="F37" s="1" t="n"/>
      <c r="G37" s="1" t="n"/>
      <c r="H37" s="1" t="n"/>
      <c r="I37" s="1" t="n"/>
      <c r="J37" s="1" t="n"/>
    </row>
    <row r="38">
      <c r="A38" s="1" t="n"/>
      <c r="B38" s="37">
        <f>IF('📅 Planejamento'!$C$16&gt;'📅 Planejamento'!$B$16,'📅 Planejamento'!$A$16,"")</f>
        <v/>
      </c>
      <c r="C38" s="48">
        <f>IF('📅 Planejamento'!$C$16&gt;'📅 Planejamento'!$B$16,'📅 Planejamento'!$C$16-'📅 Planejamento'!$B$16,"")</f>
        <v/>
      </c>
      <c r="D38" s="1" t="n"/>
      <c r="E38" s="1" t="n"/>
      <c r="F38" s="1" t="n"/>
      <c r="G38" s="1" t="n"/>
      <c r="H38" s="1" t="n"/>
      <c r="I38" s="1" t="n"/>
      <c r="J38" s="1" t="n"/>
    </row>
    <row r="39">
      <c r="A39" s="1" t="n"/>
      <c r="B39" s="37">
        <f>IF('📅 Planejamento'!$C$17&gt;'📅 Planejamento'!$B$17,'📅 Planejamento'!$A$17,"")</f>
        <v/>
      </c>
      <c r="C39" s="48">
        <f>IF('📅 Planejamento'!$C$17&gt;'📅 Planejamento'!$B$17,'📅 Planejamento'!$C$17-'📅 Planejamento'!$B$17,"")</f>
        <v/>
      </c>
      <c r="D39" s="1" t="n"/>
      <c r="E39" s="1" t="n"/>
      <c r="F39" s="1" t="n"/>
      <c r="G39" s="1" t="n"/>
      <c r="H39" s="1" t="n"/>
      <c r="I39" s="1" t="n"/>
      <c r="J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</row>
    <row r="42">
      <c r="A42" s="29" t="inlineStr">
        <is>
          <t>🎉 Metas atingidas</t>
        </is>
      </c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</row>
    <row r="43">
      <c r="A43" s="1" t="n"/>
      <c r="B43" s="49">
        <f>IF(AND('🎯 Metas'!$B$7&gt;0,'🎯 Metas'!$C$7&gt;='🎯 Metas'!$B$7),"🎉 Parabéns! Meta """&amp;'🎯 Metas'!$A$7&amp;""" atingida!","")</f>
        <v/>
      </c>
      <c r="C43" s="44" t="n"/>
      <c r="D43" s="44" t="n"/>
      <c r="E43" s="44" t="n"/>
      <c r="F43" s="43" t="n"/>
      <c r="G43" s="1" t="n"/>
      <c r="H43" s="1" t="n"/>
      <c r="I43" s="1" t="n"/>
      <c r="J43" s="1" t="n"/>
    </row>
    <row r="44">
      <c r="A44" s="1" t="n"/>
      <c r="B44" s="49">
        <f>IF(AND('🎯 Metas'!$B$8&gt;0,'🎯 Metas'!$C$8&gt;='🎯 Metas'!$B$8),"🎉 Parabéns! Meta """&amp;'🎯 Metas'!$A$8&amp;""" atingida!","")</f>
        <v/>
      </c>
      <c r="C44" s="44" t="n"/>
      <c r="D44" s="44" t="n"/>
      <c r="E44" s="44" t="n"/>
      <c r="F44" s="43" t="n"/>
      <c r="G44" s="1" t="n"/>
      <c r="H44" s="1" t="n"/>
      <c r="I44" s="1" t="n"/>
      <c r="J44" s="1" t="n"/>
    </row>
    <row r="45">
      <c r="A45" s="1" t="n"/>
      <c r="B45" s="49">
        <f>IF(AND('🎯 Metas'!$B$9&gt;0,'🎯 Metas'!$C$9&gt;='🎯 Metas'!$B$9),"🎉 Parabéns! Meta """&amp;'🎯 Metas'!$A$9&amp;""" atingida!","")</f>
        <v/>
      </c>
      <c r="C45" s="44" t="n"/>
      <c r="D45" s="44" t="n"/>
      <c r="E45" s="44" t="n"/>
      <c r="F45" s="43" t="n"/>
      <c r="G45" s="1" t="n"/>
      <c r="H45" s="1" t="n"/>
      <c r="I45" s="1" t="n"/>
      <c r="J45" s="1" t="n"/>
    </row>
    <row r="46">
      <c r="A46" s="1" t="n"/>
      <c r="B46" s="49">
        <f>IF(AND('🎯 Metas'!$B$10&gt;0,'🎯 Metas'!$C$10&gt;='🎯 Metas'!$B$10),"🎉 Parabéns! Meta """&amp;'🎯 Metas'!$A$10&amp;""" atingida!","")</f>
        <v/>
      </c>
      <c r="C46" s="44" t="n"/>
      <c r="D46" s="44" t="n"/>
      <c r="E46" s="44" t="n"/>
      <c r="F46" s="43" t="n"/>
      <c r="G46" s="1" t="n"/>
      <c r="H46" s="1" t="n"/>
      <c r="I46" s="1" t="n"/>
      <c r="J46" s="1" t="n"/>
    </row>
    <row r="47">
      <c r="A47" s="1" t="n"/>
      <c r="B47" s="49">
        <f>IF(AND('🎯 Metas'!$B$11&gt;0,'🎯 Metas'!$C$11&gt;='🎯 Metas'!$B$11),"🎉 Parabéns! Meta """&amp;'🎯 Metas'!$A$11&amp;""" atingida!","")</f>
        <v/>
      </c>
      <c r="C47" s="44" t="n"/>
      <c r="D47" s="44" t="n"/>
      <c r="E47" s="44" t="n"/>
      <c r="F47" s="43" t="n"/>
      <c r="G47" s="1" t="n"/>
      <c r="H47" s="1" t="n"/>
      <c r="I47" s="1" t="n"/>
      <c r="J47" s="1" t="n"/>
    </row>
    <row r="48">
      <c r="A48" s="1" t="n"/>
      <c r="B48" s="49">
        <f>IF(AND('🎯 Metas'!$B$12&gt;0,'🎯 Metas'!$C$12&gt;='🎯 Metas'!$B$12),"🎉 Parabéns! Meta """&amp;'🎯 Metas'!$A$12&amp;""" atingida!","")</f>
        <v/>
      </c>
      <c r="C48" s="44" t="n"/>
      <c r="D48" s="44" t="n"/>
      <c r="E48" s="44" t="n"/>
      <c r="F48" s="43" t="n"/>
      <c r="G48" s="1" t="n"/>
      <c r="H48" s="1" t="n"/>
      <c r="I48" s="1" t="n"/>
      <c r="J48" s="1" t="n"/>
    </row>
    <row r="49">
      <c r="A49" s="1" t="n"/>
      <c r="B49" s="49">
        <f>IF(AND('🎯 Metas'!$B$13&gt;0,'🎯 Metas'!$C$13&gt;='🎯 Metas'!$B$13),"🎉 Parabéns! Meta """&amp;'🎯 Metas'!$A$13&amp;""" atingida!","")</f>
        <v/>
      </c>
      <c r="C49" s="44" t="n"/>
      <c r="D49" s="44" t="n"/>
      <c r="E49" s="44" t="n"/>
      <c r="F49" s="43" t="n"/>
      <c r="G49" s="1" t="n"/>
      <c r="H49" s="1" t="n"/>
      <c r="I49" s="1" t="n"/>
      <c r="J49" s="1" t="n"/>
    </row>
    <row r="50">
      <c r="A50" s="1" t="n"/>
      <c r="B50" s="49">
        <f>IF(AND('🎯 Metas'!$B$14&gt;0,'🎯 Metas'!$C$14&gt;='🎯 Metas'!$B$14),"🎉 Parabéns! Meta """&amp;'🎯 Metas'!$A$14&amp;""" atingida!","")</f>
        <v/>
      </c>
      <c r="C50" s="44" t="n"/>
      <c r="D50" s="44" t="n"/>
      <c r="E50" s="44" t="n"/>
      <c r="F50" s="43" t="n"/>
      <c r="G50" s="1" t="n"/>
      <c r="H50" s="1" t="n"/>
      <c r="I50" s="1" t="n"/>
      <c r="J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mergeCells count="12">
    <mergeCell ref="B10:D10"/>
    <mergeCell ref="B44:F44"/>
    <mergeCell ref="B43:F43"/>
    <mergeCell ref="B47:F47"/>
    <mergeCell ref="B48:F48"/>
    <mergeCell ref="B8:D8"/>
    <mergeCell ref="B9:D9"/>
    <mergeCell ref="B45:F45"/>
    <mergeCell ref="B46:F46"/>
    <mergeCell ref="B50:F50"/>
    <mergeCell ref="B7:D7"/>
    <mergeCell ref="B49:F49"/>
  </mergeCells>
  <conditionalFormatting sqref="E7:F9">
    <cfRule type="expression" priority="1" dxfId="7">
      <formula>$E7&gt;0</formula>
    </cfRule>
  </conditionalFormatting>
  <conditionalFormatting sqref="B15:F24">
    <cfRule type="expression" priority="2" dxfId="2">
      <formula>AND($B15&lt;&gt;"",$E15&lt;0)</formula>
    </cfRule>
    <cfRule type="expression" priority="3" dxfId="3">
      <formula>AND($B15&lt;&gt;"",$E15&lt;=3)</formula>
    </cfRule>
  </conditionalFormatting>
  <hyperlinks>
    <hyperlink ref="B1" location="'📊 Dashboard'!A1" tooltip="Ir para 📊 Dashboard"/>
    <hyperlink ref="C1" location="'💰 Receitas'!A1" tooltip="Ir para 💰 Receitas"/>
    <hyperlink ref="D1" location="'💸 Despesas'!A1" tooltip="Ir para 💸 Despesas"/>
    <hyperlink ref="E1" location="'🏦 Contas'!A1" tooltip="Ir para 🏦 Contas"/>
    <hyperlink ref="F1" location="'💳 Cartões'!A1" tooltip="Ir para 💳 Cartões"/>
    <hyperlink ref="G1" location="'🎯 Metas'!A1" tooltip="Ir para 🎯 Metas"/>
    <hyperlink ref="H1" location="'📅 Planejamento'!A1" tooltip="Ir para 📅 Planejamento"/>
    <hyperlink ref="I1" location="'📈 Relatórios'!A1" tooltip="Ir para 📈 Relatórios"/>
    <hyperlink ref="J1" location="'🔔 Alertas'!A1" tooltip="Ir para 🔔 Alertas"/>
    <hyperlink ref="K1" location="'⚙️ Config'!A1" tooltip="Ir para ⚙️ Config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B5E20"/>
    <outlinePr summaryBelow="1" summaryRight="1"/>
    <pageSetUpPr/>
  </sheetPr>
  <dimension ref="A1:N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</cols>
  <sheetData>
    <row r="1" ht="24" customHeight="1">
      <c r="A1" s="1" t="n"/>
      <c r="B1" s="3" t="inlineStr">
        <is>
          <t>📊 Início</t>
        </is>
      </c>
      <c r="C1" s="3" t="inlineStr">
        <is>
          <t>💰 Receitas</t>
        </is>
      </c>
      <c r="D1" s="3" t="inlineStr">
        <is>
          <t>💸 Despesas</t>
        </is>
      </c>
      <c r="E1" s="3" t="inlineStr">
        <is>
          <t>🏦 Contas</t>
        </is>
      </c>
      <c r="F1" s="3" t="inlineStr">
        <is>
          <t>💳 Cartões</t>
        </is>
      </c>
      <c r="G1" s="3" t="inlineStr">
        <is>
          <t>🎯 Metas</t>
        </is>
      </c>
      <c r="H1" s="3" t="inlineStr">
        <is>
          <t>📅 Orçamento</t>
        </is>
      </c>
      <c r="I1" s="3" t="inlineStr">
        <is>
          <t>📈 Relatórios</t>
        </is>
      </c>
      <c r="J1" s="3" t="inlineStr">
        <is>
          <t>🔔 Alertas</t>
        </is>
      </c>
      <c r="K1" s="2" t="inlineStr">
        <is>
          <t>⚙️ Config</t>
        </is>
      </c>
      <c r="L1" s="1" t="n"/>
      <c r="M1" s="1" t="n"/>
      <c r="N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1" t="n"/>
      <c r="B3" s="4" t="inlineStr">
        <is>
          <t>⚙️ Configurações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1" t="n"/>
      <c r="B4" s="7" t="inlineStr">
        <is>
          <t>Listas usadas nas validações — edite à vontade.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1" t="n"/>
      <c r="B6" s="40" t="inlineStr">
        <is>
          <t>Categorias de Receita</t>
        </is>
      </c>
      <c r="C6" s="40" t="inlineStr">
        <is>
          <t>Categorias de Despesa</t>
        </is>
      </c>
      <c r="D6" s="40" t="inlineStr">
        <is>
          <t>Formas de Pagamento</t>
        </is>
      </c>
      <c r="E6" s="40" t="inlineStr">
        <is>
          <t>Contas / Bancos</t>
        </is>
      </c>
      <c r="F6" s="40" t="inlineStr">
        <is>
          <t>Cartões</t>
        </is>
      </c>
      <c r="G6" s="40" t="inlineStr">
        <is>
          <t>Mês (nº)</t>
        </is>
      </c>
      <c r="H6" s="40" t="inlineStr">
        <is>
          <t>Mês (nome)</t>
        </is>
      </c>
      <c r="I6" s="40" t="inlineStr">
        <is>
          <t>Anos</t>
        </is>
      </c>
      <c r="J6" s="1" t="n"/>
      <c r="K6" s="1" t="n"/>
      <c r="L6" s="1" t="n"/>
      <c r="M6" s="1" t="n"/>
      <c r="N6" s="1" t="n"/>
    </row>
    <row r="7">
      <c r="A7" s="1" t="n"/>
      <c r="B7" s="19" t="inlineStr">
        <is>
          <t>Salário</t>
        </is>
      </c>
      <c r="C7" s="19" t="inlineStr">
        <is>
          <t>Moradia</t>
        </is>
      </c>
      <c r="D7" s="19" t="inlineStr">
        <is>
          <t>Dinheiro</t>
        </is>
      </c>
      <c r="E7" s="19" t="inlineStr">
        <is>
          <t>Itaú</t>
        </is>
      </c>
      <c r="F7" s="19" t="inlineStr">
        <is>
          <t>Nubank</t>
        </is>
      </c>
      <c r="G7" s="19" t="n">
        <v>1</v>
      </c>
      <c r="H7" s="19" t="inlineStr">
        <is>
          <t>Janeiro</t>
        </is>
      </c>
      <c r="I7" s="19" t="n">
        <v>2024</v>
      </c>
      <c r="J7" s="1" t="n"/>
      <c r="K7" s="1" t="n"/>
      <c r="L7" s="1" t="n"/>
      <c r="M7" s="1" t="n"/>
      <c r="N7" s="1" t="n"/>
    </row>
    <row r="8">
      <c r="A8" s="1" t="n"/>
      <c r="B8" s="19" t="inlineStr">
        <is>
          <t>Freelance</t>
        </is>
      </c>
      <c r="C8" s="19" t="inlineStr">
        <is>
          <t>Alimentação</t>
        </is>
      </c>
      <c r="D8" s="19" t="inlineStr">
        <is>
          <t>Pix</t>
        </is>
      </c>
      <c r="E8" s="19" t="inlineStr">
        <is>
          <t>Nubank</t>
        </is>
      </c>
      <c r="F8" s="19" t="inlineStr">
        <is>
          <t>Itaú</t>
        </is>
      </c>
      <c r="G8" s="19" t="n">
        <v>2</v>
      </c>
      <c r="H8" s="19" t="inlineStr">
        <is>
          <t>Fevereiro</t>
        </is>
      </c>
      <c r="I8" s="19" t="n">
        <v>2025</v>
      </c>
      <c r="J8" s="1" t="n"/>
      <c r="K8" s="1" t="n"/>
      <c r="L8" s="1" t="n"/>
      <c r="M8" s="1" t="n"/>
      <c r="N8" s="1" t="n"/>
    </row>
    <row r="9">
      <c r="A9" s="1" t="n"/>
      <c r="B9" s="19" t="inlineStr">
        <is>
          <t>Investimentos</t>
        </is>
      </c>
      <c r="C9" s="19" t="inlineStr">
        <is>
          <t>Transporte</t>
        </is>
      </c>
      <c r="D9" s="19" t="inlineStr">
        <is>
          <t>Débito</t>
        </is>
      </c>
      <c r="E9" s="19" t="inlineStr">
        <is>
          <t>Caixa</t>
        </is>
      </c>
      <c r="F9" s="19" t="inlineStr">
        <is>
          <t>Inter</t>
        </is>
      </c>
      <c r="G9" s="19" t="n">
        <v>3</v>
      </c>
      <c r="H9" s="19" t="inlineStr">
        <is>
          <t>Março</t>
        </is>
      </c>
      <c r="I9" s="19" t="n">
        <v>2026</v>
      </c>
      <c r="J9" s="1" t="n"/>
      <c r="K9" s="1" t="n"/>
      <c r="L9" s="1" t="n"/>
      <c r="M9" s="1" t="n"/>
      <c r="N9" s="1" t="n"/>
    </row>
    <row r="10">
      <c r="A10" s="1" t="n"/>
      <c r="B10" s="19" t="inlineStr">
        <is>
          <t>Vendas</t>
        </is>
      </c>
      <c r="C10" s="19" t="inlineStr">
        <is>
          <t>Saúde</t>
        </is>
      </c>
      <c r="D10" s="19" t="inlineStr">
        <is>
          <t>Crédito</t>
        </is>
      </c>
      <c r="E10" s="19" t="inlineStr">
        <is>
          <t>Inter</t>
        </is>
      </c>
      <c r="F10" s="19" t="n"/>
      <c r="G10" s="19" t="n">
        <v>4</v>
      </c>
      <c r="H10" s="19" t="inlineStr">
        <is>
          <t>Abril</t>
        </is>
      </c>
      <c r="I10" s="19" t="n">
        <v>2027</v>
      </c>
      <c r="J10" s="1" t="n"/>
      <c r="K10" s="1" t="n"/>
      <c r="L10" s="1" t="n"/>
      <c r="M10" s="1" t="n"/>
      <c r="N10" s="1" t="n"/>
    </row>
    <row r="11">
      <c r="A11" s="1" t="n"/>
      <c r="B11" s="19" t="inlineStr">
        <is>
          <t>Aluguel</t>
        </is>
      </c>
      <c r="C11" s="19" t="inlineStr">
        <is>
          <t>Educação</t>
        </is>
      </c>
      <c r="D11" s="19" t="inlineStr">
        <is>
          <t>Boleto</t>
        </is>
      </c>
      <c r="E11" s="19" t="inlineStr">
        <is>
          <t>Carteira</t>
        </is>
      </c>
      <c r="F11" s="19" t="n"/>
      <c r="G11" s="19" t="n">
        <v>5</v>
      </c>
      <c r="H11" s="19" t="inlineStr">
        <is>
          <t>Maio</t>
        </is>
      </c>
      <c r="I11" s="19" t="n">
        <v>2028</v>
      </c>
      <c r="J11" s="1" t="n"/>
      <c r="K11" s="1" t="n"/>
      <c r="L11" s="1" t="n"/>
      <c r="M11" s="1" t="n"/>
      <c r="N11" s="1" t="n"/>
    </row>
    <row r="12">
      <c r="A12" s="1" t="n"/>
      <c r="B12" s="19" t="inlineStr">
        <is>
          <t>Reembolso</t>
        </is>
      </c>
      <c r="C12" s="19" t="inlineStr">
        <is>
          <t>Lazer</t>
        </is>
      </c>
      <c r="D12" s="19" t="inlineStr">
        <is>
          <t>Transferência</t>
        </is>
      </c>
      <c r="E12" s="19" t="n"/>
      <c r="F12" s="19" t="n"/>
      <c r="G12" s="19" t="n">
        <v>6</v>
      </c>
      <c r="H12" s="19" t="inlineStr">
        <is>
          <t>Junho</t>
        </is>
      </c>
      <c r="I12" s="19" t="n">
        <v>2029</v>
      </c>
      <c r="J12" s="1" t="n"/>
      <c r="K12" s="1" t="n"/>
      <c r="L12" s="1" t="n"/>
      <c r="M12" s="1" t="n"/>
      <c r="N12" s="1" t="n"/>
    </row>
    <row r="13">
      <c r="A13" s="1" t="n"/>
      <c r="B13" s="19" t="inlineStr">
        <is>
          <t>Outros</t>
        </is>
      </c>
      <c r="C13" s="19" t="inlineStr">
        <is>
          <t>Vestuário</t>
        </is>
      </c>
      <c r="D13" s="19" t="n"/>
      <c r="E13" s="19" t="n"/>
      <c r="F13" s="19" t="n"/>
      <c r="G13" s="19" t="n">
        <v>7</v>
      </c>
      <c r="H13" s="19" t="inlineStr">
        <is>
          <t>Julho</t>
        </is>
      </c>
      <c r="I13" s="19" t="n">
        <v>2030</v>
      </c>
      <c r="J13" s="1" t="n"/>
      <c r="K13" s="1" t="n"/>
      <c r="L13" s="1" t="n"/>
      <c r="M13" s="1" t="n"/>
      <c r="N13" s="1" t="n"/>
    </row>
    <row r="14">
      <c r="A14" s="1" t="n"/>
      <c r="B14" s="19" t="n"/>
      <c r="C14" s="19" t="inlineStr">
        <is>
          <t>Assinaturas</t>
        </is>
      </c>
      <c r="D14" s="19" t="n"/>
      <c r="E14" s="19" t="n"/>
      <c r="F14" s="19" t="n"/>
      <c r="G14" s="19" t="n">
        <v>8</v>
      </c>
      <c r="H14" s="19" t="inlineStr">
        <is>
          <t>Agosto</t>
        </is>
      </c>
      <c r="I14" s="19" t="n">
        <v>2031</v>
      </c>
      <c r="J14" s="1" t="n"/>
      <c r="K14" s="1" t="n"/>
      <c r="L14" s="1" t="n"/>
      <c r="M14" s="1" t="n"/>
      <c r="N14" s="1" t="n"/>
    </row>
    <row r="15">
      <c r="A15" s="1" t="n"/>
      <c r="B15" s="19" t="n"/>
      <c r="C15" s="19" t="inlineStr">
        <is>
          <t>Contas Fixas</t>
        </is>
      </c>
      <c r="D15" s="19" t="n"/>
      <c r="E15" s="19" t="n"/>
      <c r="F15" s="19" t="n"/>
      <c r="G15" s="19" t="n">
        <v>9</v>
      </c>
      <c r="H15" s="19" t="inlineStr">
        <is>
          <t>Setembro</t>
        </is>
      </c>
      <c r="I15" s="19" t="n"/>
      <c r="J15" s="1" t="n"/>
      <c r="K15" s="1" t="n"/>
      <c r="L15" s="1" t="n"/>
      <c r="M15" s="1" t="n"/>
      <c r="N15" s="1" t="n"/>
    </row>
    <row r="16">
      <c r="A16" s="1" t="n"/>
      <c r="B16" s="19" t="n"/>
      <c r="C16" s="19" t="inlineStr">
        <is>
          <t>Investimentos</t>
        </is>
      </c>
      <c r="D16" s="19" t="n"/>
      <c r="E16" s="19" t="n"/>
      <c r="F16" s="19" t="n"/>
      <c r="G16" s="19" t="n">
        <v>10</v>
      </c>
      <c r="H16" s="19" t="inlineStr">
        <is>
          <t>Outubro</t>
        </is>
      </c>
      <c r="I16" s="19" t="n"/>
      <c r="J16" s="1" t="n"/>
      <c r="K16" s="1" t="n"/>
      <c r="L16" s="1" t="n"/>
      <c r="M16" s="1" t="n"/>
      <c r="N16" s="1" t="n"/>
    </row>
    <row r="17">
      <c r="A17" s="1" t="n"/>
      <c r="B17" s="19" t="n"/>
      <c r="C17" s="19" t="inlineStr">
        <is>
          <t>Outros</t>
        </is>
      </c>
      <c r="D17" s="19" t="n"/>
      <c r="E17" s="19" t="n"/>
      <c r="F17" s="19" t="n"/>
      <c r="G17" s="19" t="n">
        <v>11</v>
      </c>
      <c r="H17" s="19" t="inlineStr">
        <is>
          <t>Novembro</t>
        </is>
      </c>
      <c r="I17" s="19" t="n"/>
      <c r="J17" s="1" t="n"/>
      <c r="K17" s="1" t="n"/>
      <c r="L17" s="1" t="n"/>
      <c r="M17" s="1" t="n"/>
      <c r="N17" s="1" t="n"/>
    </row>
    <row r="18">
      <c r="A18" s="1" t="n"/>
      <c r="B18" s="19" t="n"/>
      <c r="C18" s="19" t="n"/>
      <c r="D18" s="19" t="n"/>
      <c r="E18" s="19" t="n"/>
      <c r="F18" s="19" t="n"/>
      <c r="G18" s="19" t="n">
        <v>12</v>
      </c>
      <c r="H18" s="19" t="inlineStr">
        <is>
          <t>Dezembro</t>
        </is>
      </c>
      <c r="I18" s="19" t="n"/>
      <c r="J18" s="1" t="n"/>
      <c r="K18" s="1" t="n"/>
      <c r="L18" s="1" t="n"/>
      <c r="M18" s="1" t="n"/>
      <c r="N18" s="1" t="n"/>
    </row>
    <row r="19">
      <c r="A19" s="1" t="n"/>
      <c r="B19" s="19" t="n"/>
      <c r="C19" s="19" t="n"/>
      <c r="D19" s="19" t="n"/>
      <c r="E19" s="19" t="n"/>
      <c r="F19" s="19" t="n"/>
      <c r="G19" s="19" t="n"/>
      <c r="H19" s="19" t="n"/>
      <c r="I19" s="19" t="n"/>
      <c r="J19" s="1" t="n"/>
      <c r="K19" s="1" t="n"/>
      <c r="L19" s="1" t="n"/>
      <c r="M19" s="1" t="n"/>
      <c r="N19" s="1" t="n"/>
    </row>
    <row r="20">
      <c r="A20" s="1" t="n"/>
      <c r="B20" s="19" t="n"/>
      <c r="C20" s="19" t="n"/>
      <c r="D20" s="19" t="n"/>
      <c r="E20" s="19" t="n"/>
      <c r="F20" s="19" t="n"/>
      <c r="G20" s="19" t="n"/>
      <c r="H20" s="19" t="n"/>
      <c r="I20" s="19" t="n"/>
      <c r="J20" s="1" t="n"/>
      <c r="K20" s="1" t="n"/>
      <c r="L20" s="1" t="n"/>
      <c r="M20" s="1" t="n"/>
      <c r="N20" s="1" t="n"/>
    </row>
    <row r="21">
      <c r="A21" s="1" t="n"/>
      <c r="B21" s="19" t="n"/>
      <c r="C21" s="19" t="n"/>
      <c r="D21" s="19" t="n"/>
      <c r="E21" s="19" t="n"/>
      <c r="F21" s="19" t="n"/>
      <c r="G21" s="19" t="n"/>
      <c r="H21" s="19" t="n"/>
      <c r="I21" s="19" t="n"/>
      <c r="J21" s="1" t="n"/>
      <c r="K21" s="1" t="n"/>
      <c r="L21" s="1" t="n"/>
      <c r="M21" s="1" t="n"/>
      <c r="N21" s="1" t="n"/>
    </row>
    <row r="22">
      <c r="A22" s="1" t="n"/>
      <c r="B22" s="19" t="n"/>
      <c r="C22" s="19" t="n"/>
      <c r="D22" s="19" t="n"/>
      <c r="E22" s="19" t="n"/>
      <c r="F22" s="19" t="n"/>
      <c r="G22" s="19" t="n"/>
      <c r="H22" s="19" t="n"/>
      <c r="I22" s="19" t="n"/>
      <c r="J22" s="1" t="n"/>
      <c r="K22" s="1" t="n"/>
      <c r="L22" s="1" t="n"/>
      <c r="M22" s="1" t="n"/>
      <c r="N22" s="1" t="n"/>
    </row>
    <row r="23">
      <c r="A23" s="1" t="n"/>
      <c r="B23" s="19" t="n"/>
      <c r="C23" s="19" t="n"/>
      <c r="D23" s="19" t="n"/>
      <c r="E23" s="19" t="n"/>
      <c r="F23" s="19" t="n"/>
      <c r="G23" s="19" t="n"/>
      <c r="H23" s="19" t="n"/>
      <c r="I23" s="19" t="n"/>
      <c r="J23" s="1" t="n"/>
      <c r="K23" s="1" t="n"/>
      <c r="L23" s="1" t="n"/>
      <c r="M23" s="1" t="n"/>
      <c r="N23" s="1" t="n"/>
    </row>
    <row r="24">
      <c r="A24" s="1" t="n"/>
      <c r="B24" s="19" t="n"/>
      <c r="C24" s="19" t="n"/>
      <c r="D24" s="19" t="n"/>
      <c r="E24" s="19" t="n"/>
      <c r="F24" s="19" t="n"/>
      <c r="G24" s="19" t="n"/>
      <c r="H24" s="19" t="n"/>
      <c r="I24" s="19" t="n"/>
      <c r="J24" s="1" t="n"/>
      <c r="K24" s="1" t="n"/>
      <c r="L24" s="1" t="n"/>
      <c r="M24" s="1" t="n"/>
      <c r="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" t="n"/>
      <c r="B27" s="29" t="inlineStr">
        <is>
          <t>💡 Como usar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7" t="inlineStr">
        <is>
          <t>1. Lance suas receitas e despesas nas abas 💰 e 💸 (use os menus suspensos).</t>
        </is>
      </c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7" t="inlineStr">
        <is>
          <t>2. Escolha o mês e o ano no topo do 📊 Dashboard — tudo recalcula sozinho.</t>
        </is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7" t="inlineStr">
        <is>
          <t>3. Cadastre bancos em 🏦 Contas e cartões em 💳 Cartões.</t>
        </is>
      </c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7" t="inlineStr">
        <is>
          <t>4. Defina orçamentos em 📅 Planejamento e metas em 🎯 Metas.</t>
        </is>
      </c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" t="n"/>
      <c r="B32" s="7" t="inlineStr">
        <is>
          <t>5. A aba 🔔 Alertas avisa sobre vencimentos, estouros e metas atingidas.</t>
        </is>
      </c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7" t="inlineStr">
        <is>
          <t>6. As fórmulas estão protegidas (sem senha): Revisão ▸ Desproteger Planilha.</t>
        </is>
      </c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</row>
  </sheetData>
  <hyperlinks>
    <hyperlink ref="B1" location="'📊 Dashboard'!A1" tooltip="Ir para 📊 Dashboard"/>
    <hyperlink ref="C1" location="'💰 Receitas'!A1" tooltip="Ir para 💰 Receitas"/>
    <hyperlink ref="D1" location="'💸 Despesas'!A1" tooltip="Ir para 💸 Despesas"/>
    <hyperlink ref="E1" location="'🏦 Contas'!A1" tooltip="Ir para 🏦 Contas"/>
    <hyperlink ref="F1" location="'💳 Cartões'!A1" tooltip="Ir para 💳 Cartões"/>
    <hyperlink ref="G1" location="'🎯 Metas'!A1" tooltip="Ir para 🎯 Metas"/>
    <hyperlink ref="H1" location="'📅 Planejamento'!A1" tooltip="Ir para 📅 Planejamento"/>
    <hyperlink ref="I1" location="'📈 Relatórios'!A1" tooltip="Ir para 📈 Relatórios"/>
    <hyperlink ref="J1" location="'🔔 Alertas'!A1" tooltip="Ir para 🔔 Alertas"/>
    <hyperlink ref="K1" location="'⚙️ Config'!A1" tooltip="Ir para ⚙️ Config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2026-07-03T10:28:28Z</dcterms:created>
  <dcterms:modified xsi:type="dcterms:W3CDTF">2026-07-03T10:28:28Z</dcterms:modified>
</cp:coreProperties>
</file>